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ColeBenson-SmartMotors\Design-Files\SM_Sub_Board_v3.3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M11" i="1" l="1"/>
  <c r="M10" i="1"/>
  <c r="Q11" i="1" l="1"/>
  <c r="Q10" i="1"/>
  <c r="B11" i="1"/>
  <c r="B10" i="1"/>
  <c r="Q12" i="1" l="1"/>
  <c r="Q13" i="1" s="1"/>
</calcChain>
</file>

<file path=xl/sharedStrings.xml><?xml version="1.0" encoding="utf-8"?>
<sst xmlns="http://schemas.openxmlformats.org/spreadsheetml/2006/main" count="47" uniqueCount="42">
  <si>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</si>
  <si>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</si>
  <si>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</si>
  <si>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</si>
  <si>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</si>
  <si>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</si>
  <si>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</si>
  <si>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</si>
  <si>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</si>
  <si>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Right Angle JST</t>
  </si>
  <si>
    <t>Slide Switch</t>
  </si>
  <si>
    <t>Designator</t>
  </si>
  <si>
    <t>J1</t>
  </si>
  <si>
    <t>SW1</t>
  </si>
  <si>
    <t>Description</t>
  </si>
  <si>
    <t>CONN HEADER SMD R/A 3POS 1.25MM</t>
  </si>
  <si>
    <t>SWITCH SLIDE SPDT 300MA 6V</t>
  </si>
  <si>
    <t>Footprint</t>
  </si>
  <si>
    <t>PCM12SMTR_</t>
  </si>
  <si>
    <t>Manufacturer Part Number</t>
  </si>
  <si>
    <t>53261-0371</t>
  </si>
  <si>
    <t>PCM12SMTR</t>
  </si>
  <si>
    <t>Manufacturer</t>
  </si>
  <si>
    <t>Molex</t>
  </si>
  <si>
    <t>ITT C&amp;K</t>
  </si>
  <si>
    <t>Quantity</t>
  </si>
  <si>
    <t>Alternate Part Number</t>
  </si>
  <si>
    <t>Bill of Materials for Project [SM_Sub_Board_v3.3.]</t>
  </si>
  <si>
    <t>SM_Sub_Board_v3.3.</t>
  </si>
  <si>
    <t>LCSC Part Number</t>
  </si>
  <si>
    <t>Value</t>
  </si>
  <si>
    <t>Links</t>
  </si>
  <si>
    <t>Remarks</t>
  </si>
  <si>
    <t>Reviewer Remarks</t>
  </si>
  <si>
    <t>C293630</t>
  </si>
  <si>
    <t>-</t>
  </si>
  <si>
    <t>LCSC</t>
  </si>
  <si>
    <t>C221841</t>
  </si>
  <si>
    <t>Quantity (20 Boards)</t>
  </si>
  <si>
    <t>MOQ (20 Boards)</t>
  </si>
  <si>
    <t>Unit Cost (20 Boards)</t>
  </si>
  <si>
    <t>Total Cost (20 Boards)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</si>
</sst>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3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70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0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22" fillId="2" borderId="16" xfId="1" applyFill="1" applyBorder="1" applyAlignment="1">
      <alignment horizontal="center" vertical="center" wrapText="1"/>
    </xf>
    <xf numFmtId="0" fontId="22" fillId="2" borderId="17" xfId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19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lcsc.com/product-detail/Slide-Switches_C-K-PCM12SMTR_C221841.html" TargetMode="External"/><Relationship Id="rId1" Type="http://schemas.openxmlformats.org/officeDocument/2006/relationships/hyperlink" Target="https://www.lcsc.com/product-detail/Wire-To-Board-Wire-To-Wire-Connector_MOLEX-532610371_C293630.html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13"/>
  <sheetViews>
    <sheetView tabSelected="1" workbookViewId="0">
      <selection activeCell="A12" sqref="A12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31.140625" bestFit="1" customWidth="1"/>
    <col min="5" max="5" width="30.85546875" customWidth="1"/>
    <col min="6" max="6" width="22.28515625" bestFit="1" customWidth="1"/>
    <col min="7" max="7" width="25.28515625" bestFit="1" customWidth="1"/>
    <col min="8" max="8" width="21.42578125" bestFit="1" customWidth="1"/>
    <col min="9" max="9" width="21.5703125" bestFit="1" customWidth="1"/>
    <col min="10" max="10" width="17" bestFit="1" customWidth="1"/>
    <col min="11" max="11" width="6.14062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5.42578125" bestFit="1" customWidth="1"/>
    <col min="16" max="16" width="18.7109375" bestFit="1" customWidth="1"/>
    <col min="17" max="17" width="19.28515625" bestFit="1" customWidth="1"/>
    <col min="18" max="18" width="16.5703125" bestFit="1" customWidth="1"/>
    <col min="19" max="19" width="26.855468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0"/>
      <c r="L1" s="60"/>
      <c r="M1" s="60"/>
      <c r="N1" s="60"/>
      <c r="O1" s="60"/>
      <c r="P1" s="60"/>
      <c r="Q1" s="60"/>
      <c r="R1" s="60"/>
      <c r="S1" s="61"/>
    </row>
    <row r="2" spans="1:19" ht="32.25" thickBot="1" x14ac:dyDescent="0.3">
      <c r="A2" s="1"/>
      <c r="B2" s="21"/>
      <c r="C2" s="31"/>
      <c r="D2" s="11" t="s">
        <v>0</v>
      </c>
      <c r="E2" s="11"/>
      <c r="F2" s="54" t="s">
        <v>27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5" t="s">
        <v>28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62"/>
    </row>
    <row r="4" spans="1:19" x14ac:dyDescent="0.25">
      <c r="A4" s="1"/>
      <c r="B4" s="22"/>
      <c r="C4" s="32"/>
      <c r="D4" s="13" t="s">
        <v>2</v>
      </c>
      <c r="E4" s="13"/>
      <c r="F4" s="56" t="s">
        <v>28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63"/>
    </row>
    <row r="5" spans="1:19" x14ac:dyDescent="0.25">
      <c r="A5" s="1"/>
      <c r="B5" s="22"/>
      <c r="C5" s="32"/>
      <c r="D5" s="13" t="s">
        <v>3</v>
      </c>
      <c r="E5" s="13"/>
      <c r="F5" s="57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63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63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63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63"/>
    </row>
    <row r="9" spans="1:19" ht="15.75" thickBot="1" x14ac:dyDescent="0.3">
      <c r="A9" s="1"/>
      <c r="B9" s="30" t="s">
        <v>4</v>
      </c>
      <c r="C9" s="30" t="s">
        <v>8</v>
      </c>
      <c r="D9" s="30" t="s">
        <v>11</v>
      </c>
      <c r="E9" s="30" t="s">
        <v>14</v>
      </c>
      <c r="F9" s="30" t="s">
        <v>17</v>
      </c>
      <c r="G9" s="30" t="s">
        <v>19</v>
      </c>
      <c r="H9" s="30" t="s">
        <v>22</v>
      </c>
      <c r="I9" s="30" t="s">
        <v>26</v>
      </c>
      <c r="J9" s="30" t="s">
        <v>29</v>
      </c>
      <c r="K9" s="30" t="s">
        <v>30</v>
      </c>
      <c r="L9" s="30" t="s">
        <v>25</v>
      </c>
      <c r="M9" s="30" t="s">
        <v>38</v>
      </c>
      <c r="N9" s="30" t="s">
        <v>39</v>
      </c>
      <c r="O9" s="30" t="s">
        <v>31</v>
      </c>
      <c r="P9" s="30" t="s">
        <v>40</v>
      </c>
      <c r="Q9" s="30" t="s">
        <v>41</v>
      </c>
      <c r="R9" s="30" t="s">
        <v>32</v>
      </c>
      <c r="S9" s="30" t="s">
        <v>33</v>
      </c>
    </row>
    <row r="10" spans="1:19" x14ac:dyDescent="0.25">
      <c r="A10" s="1"/>
      <c r="B10" s="45">
        <f>ROW(B10) - ROW($B$9)</f>
        <v>1</v>
      </c>
      <c r="C10" s="52" t="s">
        <v>9</v>
      </c>
      <c r="D10" s="37" t="s">
        <v>12</v>
      </c>
      <c r="E10" s="37" t="s">
        <v>15</v>
      </c>
      <c r="F10" s="37">
        <v>532610371</v>
      </c>
      <c r="G10" s="37" t="s">
        <v>20</v>
      </c>
      <c r="H10" s="37" t="s">
        <v>23</v>
      </c>
      <c r="I10" s="37" t="s">
        <v>35</v>
      </c>
      <c r="J10" s="37" t="s">
        <v>34</v>
      </c>
      <c r="K10" s="37" t="s">
        <v>35</v>
      </c>
      <c r="L10" s="37">
        <v>1</v>
      </c>
      <c r="M10" s="37">
        <f>L10*20</f>
        <v>20</v>
      </c>
      <c r="N10" s="37">
        <v>25</v>
      </c>
      <c r="O10" s="58" t="s">
        <v>36</v>
      </c>
      <c r="P10" s="38">
        <v>0.1477</v>
      </c>
      <c r="Q10" s="38">
        <f>P10*N10</f>
        <v>3.6924999999999999</v>
      </c>
      <c r="R10" s="37"/>
      <c r="S10" s="49"/>
    </row>
    <row r="11" spans="1:19" ht="15.75" thickBot="1" x14ac:dyDescent="0.3">
      <c r="A11" s="1"/>
      <c r="B11" s="46">
        <f t="shared" ref="B11" si="0">ROW(B11) - ROW($B$9)</f>
        <v>2</v>
      </c>
      <c r="C11" s="53" t="s">
        <v>10</v>
      </c>
      <c r="D11" s="50" t="s">
        <v>13</v>
      </c>
      <c r="E11" s="50" t="s">
        <v>16</v>
      </c>
      <c r="F11" s="50" t="s">
        <v>18</v>
      </c>
      <c r="G11" s="50" t="s">
        <v>21</v>
      </c>
      <c r="H11" s="50" t="s">
        <v>24</v>
      </c>
      <c r="I11" s="50" t="s">
        <v>35</v>
      </c>
      <c r="J11" s="50" t="s">
        <v>37</v>
      </c>
      <c r="K11" s="50" t="s">
        <v>35</v>
      </c>
      <c r="L11" s="50">
        <v>1</v>
      </c>
      <c r="M11" s="37">
        <f>L11*20</f>
        <v>20</v>
      </c>
      <c r="N11" s="50">
        <v>21</v>
      </c>
      <c r="O11" s="59" t="s">
        <v>36</v>
      </c>
      <c r="P11" s="51">
        <v>0.59509999999999996</v>
      </c>
      <c r="Q11" s="51">
        <f t="shared" ref="Q11" si="1">P11*N11</f>
        <v>12.4971</v>
      </c>
      <c r="R11" s="50"/>
      <c r="S11" s="50"/>
    </row>
    <row r="12" spans="1:19" ht="19.5" thickBot="1" x14ac:dyDescent="0.3">
      <c r="A12" s="1"/>
      <c r="B12" s="39"/>
      <c r="C12" s="40"/>
      <c r="D12" s="41"/>
      <c r="E12" s="42"/>
      <c r="F12" s="43"/>
      <c r="G12" s="44"/>
      <c r="H12" s="43"/>
      <c r="I12" s="44"/>
      <c r="J12" s="43"/>
      <c r="K12" s="44"/>
      <c r="L12" s="44"/>
      <c r="M12" s="44"/>
      <c r="N12" s="68" t="s">
        <v>5</v>
      </c>
      <c r="O12" s="69"/>
      <c r="P12" s="69"/>
      <c r="Q12" s="47">
        <f>SUM(Q10:Q11)</f>
        <v>16.189599999999999</v>
      </c>
      <c r="R12" s="64"/>
      <c r="S12" s="65"/>
    </row>
    <row r="13" spans="1:19" ht="19.5" thickBot="1" x14ac:dyDescent="0.3">
      <c r="A13" s="1"/>
      <c r="B13" s="25"/>
      <c r="C13" s="36"/>
      <c r="D13" s="9"/>
      <c r="E13" s="10"/>
      <c r="F13" s="10"/>
      <c r="G13" s="10"/>
      <c r="H13" s="10"/>
      <c r="I13" s="10"/>
      <c r="J13" s="10"/>
      <c r="K13" s="10"/>
      <c r="L13" s="10"/>
      <c r="M13" s="10"/>
      <c r="N13" s="68" t="s">
        <v>6</v>
      </c>
      <c r="O13" s="69"/>
      <c r="P13" s="69"/>
      <c r="Q13" s="48">
        <f>Q12/5</f>
        <v>3.2379199999999999</v>
      </c>
      <c r="R13" s="66"/>
      <c r="S13" s="67"/>
    </row>
  </sheetData>
  <mergeCells count="5">
    <mergeCell ref="K1:S1"/>
    <mergeCell ref="S3:S8"/>
    <mergeCell ref="R12:S13"/>
    <mergeCell ref="N12:P12"/>
    <mergeCell ref="N13:P13"/>
  </mergeCells>
  <hyperlinks>
    <hyperlink ref="O10" r:id="rId1"/>
    <hyperlink ref="O11" r:id="rId2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2023-08-02T16:08:50Z</dcterms:modified>
</cp:coreProperties>
</file>