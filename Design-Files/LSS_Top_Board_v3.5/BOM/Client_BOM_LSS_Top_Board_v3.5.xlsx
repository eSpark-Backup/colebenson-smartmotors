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oleBenson-SmartMotors\Design-Files\LSS_Top_Board_v3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90" i="1" l="1"/>
  <c r="B89" i="1" l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<sst xmlns="http://schemas.openxmlformats.org/spreadsheetml/2006/main" count="617" uniqueCount="405">
  <si>
    <t>#</t>
  </si>
  <si>
    <t>Item Type</t>
  </si>
  <si>
    <t>Capacitor</t>
  </si>
  <si>
    <t>Zener Diode</t>
  </si>
  <si>
    <t>TVS/ESD</t>
  </si>
  <si>
    <t>Diode</t>
  </si>
  <si>
    <t>TVS Diode</t>
  </si>
  <si>
    <t>ESD Diode</t>
  </si>
  <si>
    <t>Fuses</t>
  </si>
  <si>
    <t>Ethernet Connector</t>
  </si>
  <si>
    <t>Inductor</t>
  </si>
  <si>
    <t>Power Connector</t>
  </si>
  <si>
    <t>MOSFET</t>
  </si>
  <si>
    <t>Resistor</t>
  </si>
  <si>
    <t>IC</t>
  </si>
  <si>
    <t>Designator</t>
  </si>
  <si>
    <t>C1</t>
  </si>
  <si>
    <t>C2, C13, C15, C20, C40, C51, C52, C53, C54, C55, C61</t>
  </si>
  <si>
    <t>C3, C46</t>
  </si>
  <si>
    <t>C4</t>
  </si>
  <si>
    <t>C5, C6, C14, C29, C34, C35</t>
  </si>
  <si>
    <t>C7</t>
  </si>
  <si>
    <t>C8, C10, C11, C12</t>
  </si>
  <si>
    <t>C9</t>
  </si>
  <si>
    <t>C16, C18, C19, C21, C26, C27, C28, C31</t>
  </si>
  <si>
    <t>C17</t>
  </si>
  <si>
    <t>C22</t>
  </si>
  <si>
    <t>C23, C24</t>
  </si>
  <si>
    <t>C30</t>
  </si>
  <si>
    <t>C32</t>
  </si>
  <si>
    <t>C33</t>
  </si>
  <si>
    <t>C36</t>
  </si>
  <si>
    <t>C37</t>
  </si>
  <si>
    <t>C38</t>
  </si>
  <si>
    <t>C39</t>
  </si>
  <si>
    <t>C41, C62, CF3</t>
  </si>
  <si>
    <t>C42</t>
  </si>
  <si>
    <t>C43</t>
  </si>
  <si>
    <t>C44, C45</t>
  </si>
  <si>
    <t>C48, C49</t>
  </si>
  <si>
    <t>C50</t>
  </si>
  <si>
    <t>C57, C58, C59, C60</t>
  </si>
  <si>
    <t>D1</t>
  </si>
  <si>
    <t>D2</t>
  </si>
  <si>
    <t>D3, DF2</t>
  </si>
  <si>
    <t>D4, D5, D6, D7, D8, D9, D10, D11</t>
  </si>
  <si>
    <t>D12</t>
  </si>
  <si>
    <t>D13</t>
  </si>
  <si>
    <t>D14</t>
  </si>
  <si>
    <t>D15</t>
  </si>
  <si>
    <t>D16, D18</t>
  </si>
  <si>
    <t>D17</t>
  </si>
  <si>
    <t>D19</t>
  </si>
  <si>
    <t>D20, D21</t>
  </si>
  <si>
    <t>D22</t>
  </si>
  <si>
    <t>F1</t>
  </si>
  <si>
    <t>FB1, FB2, FB3, FB4</t>
  </si>
  <si>
    <t>J1</t>
  </si>
  <si>
    <t>J2, J5</t>
  </si>
  <si>
    <t>J3</t>
  </si>
  <si>
    <t>J4</t>
  </si>
  <si>
    <t>J6</t>
  </si>
  <si>
    <t>J11</t>
  </si>
  <si>
    <t>L1</t>
  </si>
  <si>
    <t>L2</t>
  </si>
  <si>
    <t>L3</t>
  </si>
  <si>
    <t>LED1</t>
  </si>
  <si>
    <t>P1, P2</t>
  </si>
  <si>
    <t>P3, P4, P5, P6</t>
  </si>
  <si>
    <t>Q1, Q2, Q3, Q4</t>
  </si>
  <si>
    <t>Q5</t>
  </si>
  <si>
    <t>R1, R2</t>
  </si>
  <si>
    <t>R3</t>
  </si>
  <si>
    <t>R4</t>
  </si>
  <si>
    <t>R6, R7, R8, R9</t>
  </si>
  <si>
    <t>R10</t>
  </si>
  <si>
    <t>R12, R13</t>
  </si>
  <si>
    <t>R14, R15, R16, R17, R18, R19, R20, R26</t>
  </si>
  <si>
    <t>R21</t>
  </si>
  <si>
    <t>R23</t>
  </si>
  <si>
    <t>R24</t>
  </si>
  <si>
    <t>R29</t>
  </si>
  <si>
    <t>R30, R31</t>
  </si>
  <si>
    <t>R33, R46</t>
  </si>
  <si>
    <t>R34</t>
  </si>
  <si>
    <t>R35, R39</t>
  </si>
  <si>
    <t>R36</t>
  </si>
  <si>
    <t>R37</t>
  </si>
  <si>
    <t>R38, RF1, RF2, RF3, RF4, RF5</t>
  </si>
  <si>
    <t>R40</t>
  </si>
  <si>
    <t>R41</t>
  </si>
  <si>
    <t>SW1</t>
  </si>
  <si>
    <t>T1</t>
  </si>
  <si>
    <t>U1</t>
  </si>
  <si>
    <t>U2</t>
  </si>
  <si>
    <t>U3</t>
  </si>
  <si>
    <t>U4</t>
  </si>
  <si>
    <t>U5</t>
  </si>
  <si>
    <t>U6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</si>
  <si>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</si>
  <si>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</si>
  <si>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</si>
  <si>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</si>
  <si>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</si>
  <si>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</si>
  <si>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</si>
  <si>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</si>
  <si>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</si>
  <si>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</si>
  <si>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10uF 35V X5R 20% Pad SMD 0603</t>
  </si>
  <si>
    <t>CAP CER 0.082UF 50V X7R 0603</t>
  </si>
  <si>
    <t>Cap Ceramic 0.22uF 100V X7R 10% SMD 0805 125°C Embossed T/R, CAP CER 0.22UF 100V X7R 0805</t>
  </si>
  <si>
    <t>0603 .022uF 100volts X7R 10% T=0.8mm</t>
  </si>
  <si>
    <t>220uF 63V 225mA@100KHz ±20% SMD,D10xL10.5mm Aluminum Electrolytic Capacitors - SMD ROHS</t>
  </si>
  <si>
    <t>CAP CER 2200PF 50V X7R 0603</t>
  </si>
  <si>
    <t>CAP CER 0.47uF 50V X7R 0603</t>
  </si>
  <si>
    <t>CAP CER 0.1UF 50V X7R 0402</t>
  </si>
  <si>
    <t>CAP CER 4.7UF 25V X5R 0603</t>
  </si>
  <si>
    <t>CAP CER 1000PF 100V X7R 0402</t>
  </si>
  <si>
    <t>CAP CER 0.1UF 100V X5R 0402</t>
  </si>
  <si>
    <t>CAP CER 10UF 25V X5R 0603</t>
  </si>
  <si>
    <t>CAP CER 10UF 50V X5R 0805</t>
  </si>
  <si>
    <t>50V 6.8nF X7R ±10% 0603</t>
  </si>
  <si>
    <t>CAP CER 1206 47 uF 25 V ±20 % Tol. X5R</t>
  </si>
  <si>
    <t>CAP CER 22UF 35V X5R 0805</t>
  </si>
  <si>
    <t>CAP TANT 100UF 20% 25V 2917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</si>
  <si>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</si>
  <si>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</si>
  <si>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</si>
  <si>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</si>
  <si>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</si>
  <si>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SOD123F</t>
  </si>
  <si>
    <t>TVS DIODE 24VWM 41VC TO236AB</t>
  </si>
  <si>
    <t>Single 1.5W 3.13V~3.47V 3.3V SMA Zener Diodes ROHS</t>
  </si>
  <si>
    <t>TVS DIODE 3.6VWM 8.4VC 3X2SON</t>
  </si>
  <si>
    <t>TVS DEVICE HIGH VOLTAGE 1-CH 36V</t>
  </si>
  <si>
    <t>DIODE BIDIR ESD X4DFN2</t>
  </si>
  <si>
    <t>TVS DIODE 12VWM 19.9VC MICROSMP</t>
  </si>
  <si>
    <t>TVS DIODE 5.25VWM 17VC SOT23-6</t>
  </si>
  <si>
    <t>TVS DIODE 5.25VWM 17VC SOT666</t>
  </si>
  <si>
    <t>±5% Single 15.3V~17.1V 500mW 16V SOD-123 Zener Diodes ROHS</t>
  </si>
  <si>
    <t>FUSE BOARD MOUNT 10A 50VDC 1206</t>
  </si>
  <si>
    <t>Ferrite Beads Multi-Layer 120Ohm 25% 100MHz 2A 45mOhm DCR 0603 Automotive T/R</t>
  </si>
  <si>
    <t>USB 3.0 3A 1 Brick nogging 24 Female -35℃~+75℃ Type-C SMD USB Connectors ROHS</t>
  </si>
  <si>
    <t>CONN MOD JACK 8P8C VERT UNSHLD</t>
  </si>
  <si>
    <t>CONN HEADER SMD 26POS 1.27MM</t>
  </si>
  <si>
    <t>CONN HEADER VERT 4POS 2.5MM</t>
  </si>
  <si>
    <t>CONN HEADER SMD 3POS 1.25MM</t>
  </si>
  <si>
    <t>CONN HEADER VERT 4POS 3.96MM</t>
  </si>
  <si>
    <t>Inductor Power Shielded Wirewound 220uH 20% 1KHz Ferrite 1.3A 310mOhm DCR Blister T/R</t>
  </si>
  <si>
    <t>1A 33uH ±20% 356mΩ SMD,5x5x2mm Power Inductors ROHS</t>
  </si>
  <si>
    <t>1.5A 3.9uH ±20% 1.4A SMD,3x3mm Power Inductors ROHS</t>
  </si>
  <si>
    <t>Standard LEDs - SMD SMD LED Red/Grn/Blue 625/1550/260 mcd</t>
  </si>
  <si>
    <t>XT60 Connector Male-Female Pair, Black (Pololu)</t>
  </si>
  <si>
    <t>Test Point ON</t>
  </si>
  <si>
    <t>40V 6A 25mΩ@10V,6A 1.9W 1.6V@250uA 76pF@15V 2 N-Channel 1.013nF@15V 9.8nC@4.5V -55℃~+150℃@(Tj) SOP-8 MOSFETs ROHS</t>
  </si>
  <si>
    <t>MOSFET P-CH 60V 20A TO252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</si>
  <si>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</si>
  <si>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</si>
  <si>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</si>
  <si>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</si>
  <si>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</si>
  <si>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RES SMD 4.7K OHM 1% 1/20W 0201</t>
  </si>
  <si>
    <t>2W 50mΩ ±1% 2512 Current Sense Resistors/Shunt Resistors ROHS</t>
  </si>
  <si>
    <t>22Ω 0603 Chip Resistor - Surface Mount ROHS</t>
  </si>
  <si>
    <t>RES 24.9K OHM 1% 1/10W 0603</t>
  </si>
  <si>
    <t>RES SMD 2.2OHM 0603</t>
  </si>
  <si>
    <t>RES 20K OHM 1% 1/10W 0603</t>
  </si>
  <si>
    <t>RES SMD 127K OHM 1% 1/10W 0603</t>
  </si>
  <si>
    <t>Res Thick Film 0603 100K Ohm 5% 1/10W 100ppm/C Molded SMD SMD Paper T/R</t>
  </si>
  <si>
    <t>RES SMD 51R 100mW 0603</t>
  </si>
  <si>
    <t>RES SMD 150OHM 1/10W 0603</t>
  </si>
  <si>
    <t>RES SMD 2K OHM 1% 1/10W 0603</t>
  </si>
  <si>
    <t>Res SMD 0603 51.1K Ohm 0.1% 1/10W</t>
  </si>
  <si>
    <t>110kΩ 0603 Chip Resistor - Surface Mount ROHS</t>
  </si>
  <si>
    <t>RES SMD 10K Ohm 1% 1/10W 0603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</si>
  <si>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</si>
  <si>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</si>
  <si>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Memontary Tactile Push Button Switch 6X6X4.3 / 4.5 / 5/6/7/8/9/10 / 13mm SMD</t>
  </si>
  <si>
    <t>XFRMR ISOL BUCK DC/DC CONV SMD</t>
  </si>
  <si>
    <t>IC REG BUCK FLYBCK ADJ 12WSON</t>
  </si>
  <si>
    <t>IC REG BUCK 3.3V 2A TSOT26</t>
  </si>
  <si>
    <t>NO Step-down type 1 Step-down 1V~29.4V 7V~42V 3A 300kHz SOIC-8_EP_150mil DC-DC Converters ROHS</t>
  </si>
  <si>
    <t>IC REG CHARGE PUMP 5V 140MA 6SON</t>
  </si>
  <si>
    <t>1.5-A boost, buck, inverting switching regulator, operation from 0°C to 70°C 8-SOIC 0 to 70</t>
  </si>
  <si>
    <t>IC MTR DRVR BIPOLAR 8-60V 48TQFP</t>
  </si>
  <si>
    <t>DGTL ISO 3000VRMS 4CH GP 16SSOP</t>
  </si>
  <si>
    <t>AUTOMOTIVE, GENERAL-PURPOSE, 50-</t>
  </si>
  <si>
    <t>IC BUS BUFFER TRI-ST QD 14TSSOP</t>
  </si>
  <si>
    <t>Footprint</t>
  </si>
  <si>
    <t>EEEFT1H221AP</t>
  </si>
  <si>
    <t>Cap 0603</t>
  </si>
  <si>
    <t>Cap 0402</t>
  </si>
  <si>
    <t>Cap0805</t>
  </si>
  <si>
    <t>189RV0038</t>
  </si>
  <si>
    <t>Cap-0603</t>
  </si>
  <si>
    <t>Cap-0402</t>
  </si>
  <si>
    <t>Cap1206</t>
  </si>
  <si>
    <t>Cap-0805</t>
  </si>
  <si>
    <t>CAP- 2917</t>
  </si>
  <si>
    <t>CUS10S30,H3F</t>
  </si>
  <si>
    <t>SMA</t>
  </si>
  <si>
    <t>CRS01(TE85L,Q,M)</t>
  </si>
  <si>
    <t>SOT-23</t>
  </si>
  <si>
    <t>X2-SON-3(0.6x1.3)</t>
  </si>
  <si>
    <t>SOD-123</t>
  </si>
  <si>
    <t>2-DFN (0.6x0.3)</t>
  </si>
  <si>
    <t>MicroSMP</t>
  </si>
  <si>
    <t>SOT-23-6</t>
  </si>
  <si>
    <t>SOT-666</t>
  </si>
  <si>
    <t>Fuse 1206 (3216 Metric)</t>
  </si>
  <si>
    <t>MPZ1608S121ATDH5</t>
  </si>
  <si>
    <t>MC-318FB</t>
  </si>
  <si>
    <t>M55-7012642R</t>
  </si>
  <si>
    <t>B4B-XH-A(LF)(SN)</t>
  </si>
  <si>
    <t>B4P-VH-FB-B(LF)(SN)</t>
  </si>
  <si>
    <t>SLF12575T-221M1R3-PF</t>
  </si>
  <si>
    <t>PNLS5020-330</t>
  </si>
  <si>
    <t>FNR3015S3R9MT</t>
  </si>
  <si>
    <t>LTST-G683GEBW</t>
  </si>
  <si>
    <t>TEST POINT</t>
  </si>
  <si>
    <t>AO4882-MS</t>
  </si>
  <si>
    <t>DPAK</t>
  </si>
  <si>
    <t>Res0603</t>
  </si>
  <si>
    <t>Res-0201</t>
  </si>
  <si>
    <t>RES-2512</t>
  </si>
  <si>
    <t>Tactile Switch 13mm Actuator</t>
  </si>
  <si>
    <t>LM5160ADNTR</t>
  </si>
  <si>
    <t>TSOT-23-6</t>
  </si>
  <si>
    <t>8-HTSOP-J</t>
  </si>
  <si>
    <t>TPS60150DRVR</t>
  </si>
  <si>
    <t>SOIC-8</t>
  </si>
  <si>
    <t>48-tqfp-ep (7x7)</t>
  </si>
  <si>
    <t>16-SSOP</t>
  </si>
  <si>
    <t>16-SOIC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</si>
  <si>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</si>
  <si>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</si>
  <si>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</si>
  <si>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</si>
  <si>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</si>
  <si>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</si>
  <si>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</si>
  <si>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GRM188R6YA106MA73D</t>
  </si>
  <si>
    <t>CC0603KRX7R9BB823</t>
  </si>
  <si>
    <t>08051C224K4T2A</t>
  </si>
  <si>
    <t>CGA3E2X7R2A223K080AA</t>
  </si>
  <si>
    <t>CC0603KRX7R9BB222</t>
  </si>
  <si>
    <t>UMK107B7474KA-TR</t>
  </si>
  <si>
    <t>CL05B104KB54PNC</t>
  </si>
  <si>
    <t>CL10A475KA8NQNC</t>
  </si>
  <si>
    <t>GRM155R62A104KE14D</t>
  </si>
  <si>
    <t>C1608X5R1E106M080AC</t>
  </si>
  <si>
    <t>CL21A106KBYQNNE</t>
  </si>
  <si>
    <t>0603B682K500NT</t>
  </si>
  <si>
    <t>GRM31CR61E476ME44L</t>
  </si>
  <si>
    <t>C2012X5R1V226MT000E</t>
  </si>
  <si>
    <t>TAJE107M025RNJ</t>
  </si>
  <si>
    <t>CC0603KRX7R9BB471</t>
  </si>
  <si>
    <t>CL10B102KC8NNNC</t>
  </si>
  <si>
    <t>PESD2CAN,215</t>
  </si>
  <si>
    <t>1SMA5913BT3G-MS</t>
  </si>
  <si>
    <t>ESD122DMYR</t>
  </si>
  <si>
    <t>AZ4036-01G</t>
  </si>
  <si>
    <t>ESDM2033MX4T5G</t>
  </si>
  <si>
    <t>BZT52C16</t>
  </si>
  <si>
    <t>0685P9100-01</t>
  </si>
  <si>
    <t>85511-5001</t>
  </si>
  <si>
    <t>SQD19P06-60L_GE3</t>
  </si>
  <si>
    <t>RC0603JR-075K1L</t>
  </si>
  <si>
    <t>RC0603FR-073K9L</t>
  </si>
  <si>
    <t>RS-03K7871FT</t>
  </si>
  <si>
    <t>RC0603FR-070RL</t>
  </si>
  <si>
    <t>RC0603FR-0747RL</t>
  </si>
  <si>
    <t>RC0201FR-074K7L</t>
  </si>
  <si>
    <t>CRH2512FR050E04Z</t>
  </si>
  <si>
    <t>0603WAF220JT5E</t>
  </si>
  <si>
    <t>RC0603FR-0724K9L</t>
  </si>
  <si>
    <t>ERJ-3GEYJ2R2V</t>
  </si>
  <si>
    <t>RC0603FR-0720KL</t>
  </si>
  <si>
    <t>RT0603FRE07127KL</t>
  </si>
  <si>
    <t>RC0603JR-07100KL</t>
  </si>
  <si>
    <t>RC0603FR-0751RL</t>
  </si>
  <si>
    <t>RC0603FR-07150RL</t>
  </si>
  <si>
    <t>RC0603FR-072KL</t>
  </si>
  <si>
    <t>ERA-3AEB5112V</t>
  </si>
  <si>
    <t>0603WAD1103T5E</t>
  </si>
  <si>
    <t>RC0603FR-0710KL</t>
  </si>
  <si>
    <t>AP63203WU-7</t>
  </si>
  <si>
    <t>BD9876AEFJ-E2</t>
  </si>
  <si>
    <t>MC34063ADR</t>
  </si>
  <si>
    <t>TMC5160A-TA-T</t>
  </si>
  <si>
    <t>Manufacturer</t>
  </si>
  <si>
    <t>Panasonic</t>
  </si>
  <si>
    <t>Samsung</t>
  </si>
  <si>
    <t>Yageo</t>
  </si>
  <si>
    <t>Taiyo Yuden</t>
  </si>
  <si>
    <t>Murata</t>
  </si>
  <si>
    <t>Kyocera AVX</t>
  </si>
  <si>
    <t>TDK</t>
  </si>
  <si>
    <t>KNSCHA</t>
  </si>
  <si>
    <t>Wurth Electronics</t>
  </si>
  <si>
    <t>FH</t>
  </si>
  <si>
    <t>TDK Corporation</t>
  </si>
  <si>
    <t>Toshiba</t>
  </si>
  <si>
    <t>Yangzhou</t>
  </si>
  <si>
    <t>TOSHIBA</t>
  </si>
  <si>
    <t>Nexperia</t>
  </si>
  <si>
    <t>MSKSEMI</t>
  </si>
  <si>
    <t>Texas Instruments</t>
  </si>
  <si>
    <t>Amazing</t>
  </si>
  <si>
    <t>ON Semiconductor</t>
  </si>
  <si>
    <t>Shikues</t>
  </si>
  <si>
    <t>Bel</t>
  </si>
  <si>
    <t>SOFNG</t>
  </si>
  <si>
    <t>Molex</t>
  </si>
  <si>
    <t>Harwin</t>
  </si>
  <si>
    <t>JST</t>
  </si>
  <si>
    <t>DMBJ</t>
  </si>
  <si>
    <t>cjiang</t>
  </si>
  <si>
    <t>Vishay Lite-On</t>
  </si>
  <si>
    <t>Polulo</t>
  </si>
  <si>
    <t>Vishay</t>
  </si>
  <si>
    <t>Ever Ohms Tech</t>
  </si>
  <si>
    <t>UNI-ROYAL</t>
  </si>
  <si>
    <t>RALEC</t>
  </si>
  <si>
    <t>WIN ELEC-TECH CO., LTD</t>
  </si>
  <si>
    <t>Wurth Electronics Midcom</t>
  </si>
  <si>
    <t>Diodes</t>
  </si>
  <si>
    <t>ROHM Semicon</t>
  </si>
  <si>
    <t>Trinamic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</si>
  <si>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</si>
  <si>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</si>
  <si>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</si>
  <si>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</si>
  <si>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</si>
  <si>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</si>
  <si>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</si>
  <si>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</si>
  <si>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</si>
  <si>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</si>
  <si>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2.2nF</t>
  </si>
  <si>
    <t>0.1UF</t>
  </si>
  <si>
    <t>4.7UF</t>
  </si>
  <si>
    <t>1000pF</t>
  </si>
  <si>
    <t>0.1uf</t>
  </si>
  <si>
    <t>6.8nF</t>
  </si>
  <si>
    <t>47uF</t>
  </si>
  <si>
    <t>22uF</t>
  </si>
  <si>
    <t>100uF</t>
  </si>
  <si>
    <t>470pF</t>
  </si>
  <si>
    <t>1nF</t>
  </si>
  <si>
    <t>SSL110A</t>
  </si>
  <si>
    <t>SS24A</t>
  </si>
  <si>
    <t>MSMP12A-M3/89A</t>
  </si>
  <si>
    <t>USBLC6-4SC6</t>
  </si>
  <si>
    <t>USBLC6-2P6</t>
  </si>
  <si>
    <t>220uH</t>
  </si>
  <si>
    <t>33uH</t>
  </si>
  <si>
    <t>3.9uH</t>
  </si>
  <si>
    <t>Test Point</t>
  </si>
  <si>
    <t>5.1K</t>
  </si>
  <si>
    <t>3.9K</t>
  </si>
  <si>
    <t>7.87k</t>
  </si>
  <si>
    <t>0R</t>
  </si>
  <si>
    <t>47R</t>
  </si>
  <si>
    <t>4.7K</t>
  </si>
  <si>
    <t>50mR</t>
  </si>
  <si>
    <t>22R</t>
  </si>
  <si>
    <t>24.9K</t>
  </si>
  <si>
    <t>2R2</t>
  </si>
  <si>
    <t>20K</t>
  </si>
  <si>
    <t>127K</t>
  </si>
  <si>
    <t>100K</t>
  </si>
  <si>
    <t>51R</t>
  </si>
  <si>
    <t>150R</t>
  </si>
  <si>
    <t>2K</t>
  </si>
  <si>
    <t>51.1K</t>
  </si>
  <si>
    <t>110K</t>
  </si>
  <si>
    <t>10K</t>
  </si>
  <si>
    <t>1.2K</t>
  </si>
  <si>
    <t>0.33R</t>
  </si>
  <si>
    <t>ISO7740FDBQR</t>
  </si>
  <si>
    <t>ISO6762FQDWRQ1</t>
  </si>
  <si>
    <t>Quantity</t>
  </si>
  <si>
    <t>* Symbol is used for 0.1uF in PCB</t>
  </si>
  <si>
    <t>Remarks</t>
  </si>
  <si>
    <t>Value</t>
  </si>
  <si>
    <t>Ferite Beads</t>
  </si>
  <si>
    <t>Connector</t>
  </si>
  <si>
    <t>LED</t>
  </si>
  <si>
    <t>Switch</t>
  </si>
  <si>
    <t>Transformer</t>
  </si>
  <si>
    <t>Peripheral</t>
  </si>
  <si>
    <t># Symbol is used for 220nF in PCB</t>
  </si>
  <si>
    <t>Polulu</t>
  </si>
  <si>
    <t>-</t>
  </si>
  <si>
    <t>LED Glass Pipe</t>
  </si>
  <si>
    <t xml:space="preserve"> LIGHT PIPE VERT 0.500" RND FACE</t>
  </si>
  <si>
    <t>Custom</t>
  </si>
  <si>
    <t>VLP-500-R</t>
  </si>
  <si>
    <t>Bivar Inc.</t>
  </si>
  <si>
    <t>0603WAF1201T5E</t>
  </si>
  <si>
    <t>RTT03R330FTP</t>
  </si>
  <si>
    <r>
      <t xml:space="preserve">R5, </t>
    </r>
    <r>
      <rPr>
        <sz val="9"/>
        <color rgb="FFFF0000"/>
        <rFont val="Calibri"/>
        <family val="2"/>
        <scheme val="minor"/>
      </rPr>
      <t>R11, R22, R25, R27</t>
    </r>
    <r>
      <rPr>
        <sz val="9"/>
        <rFont val="Calibri"/>
        <family val="2"/>
        <scheme val="minor"/>
      </rPr>
      <t>, R32</t>
    </r>
  </si>
  <si>
    <t xml:space="preserve">Addition Highlighted with 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</si>
</sst>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7" fillId="0" borderId="7" xfId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ololu.com/product/21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90"/>
  <sheetViews>
    <sheetView tabSelected="1" topLeftCell="A82" workbookViewId="0">
      <selection activeCell="K65" sqref="K6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28515625" bestFit="1" customWidth="1"/>
    <col min="10" max="10" width="8.7109375" bestFit="1" customWidth="1"/>
    <col min="11" max="11" width="30.85546875" bestFit="1" customWidth="1"/>
    <col min="13" max="13" width="12.85546875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4"/>
      <c r="J1" s="24"/>
      <c r="K1" s="24"/>
    </row>
    <row r="2" spans="1:11" ht="15.75" thickBot="1" x14ac:dyDescent="0.3">
      <c r="A2" s="1"/>
      <c r="B2" s="5" t="s">
        <v>0</v>
      </c>
      <c r="C2" s="5" t="s">
        <v>1</v>
      </c>
      <c r="D2" s="5" t="s">
        <v>15</v>
      </c>
      <c r="E2" s="6" t="s">
        <v>102</v>
      </c>
      <c r="F2" s="5" t="s">
        <v>189</v>
      </c>
      <c r="G2" s="6" t="s">
        <v>236</v>
      </c>
      <c r="H2" s="5" t="s">
        <v>291</v>
      </c>
      <c r="I2" s="6" t="s">
        <v>386</v>
      </c>
      <c r="J2" s="5" t="s">
        <v>383</v>
      </c>
      <c r="K2" s="5" t="s">
        <v>385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16</v>
      </c>
      <c r="E3" s="8" t="s">
        <v>103</v>
      </c>
      <c r="F3" s="7" t="s">
        <v>190</v>
      </c>
      <c r="G3" s="8" t="s">
        <v>190</v>
      </c>
      <c r="H3" s="7" t="s">
        <v>292</v>
      </c>
      <c r="I3" s="8" t="s">
        <v>330</v>
      </c>
      <c r="J3" s="7">
        <v>1</v>
      </c>
      <c r="K3" s="7"/>
    </row>
    <row r="4" spans="1:11" ht="24.75" thickBot="1" x14ac:dyDescent="0.3">
      <c r="A4" s="1"/>
      <c r="B4" s="11">
        <f t="shared" ref="B4:B88" si="0">ROW(B4) - ROW($B$2)</f>
        <v>2</v>
      </c>
      <c r="C4" s="12" t="s">
        <v>2</v>
      </c>
      <c r="D4" s="9" t="s">
        <v>17</v>
      </c>
      <c r="E4" s="10" t="s">
        <v>104</v>
      </c>
      <c r="F4" s="9" t="s">
        <v>191</v>
      </c>
      <c r="G4" s="10" t="s">
        <v>237</v>
      </c>
      <c r="H4" s="9" t="s">
        <v>293</v>
      </c>
      <c r="I4" s="10" t="s">
        <v>331</v>
      </c>
      <c r="J4" s="9">
        <v>11</v>
      </c>
      <c r="K4" s="14" t="s">
        <v>384</v>
      </c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18</v>
      </c>
      <c r="E5" s="8" t="s">
        <v>105</v>
      </c>
      <c r="F5" s="7" t="s">
        <v>192</v>
      </c>
      <c r="G5" s="8" t="s">
        <v>238</v>
      </c>
      <c r="H5" s="7" t="s">
        <v>294</v>
      </c>
      <c r="I5" s="8" t="s">
        <v>332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19</v>
      </c>
      <c r="E6" s="10" t="s">
        <v>106</v>
      </c>
      <c r="F6" s="9" t="s">
        <v>192</v>
      </c>
      <c r="G6" s="10" t="s">
        <v>239</v>
      </c>
      <c r="H6" s="9" t="s">
        <v>295</v>
      </c>
      <c r="I6" s="10" t="s">
        <v>333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20</v>
      </c>
      <c r="E7" s="8" t="s">
        <v>107</v>
      </c>
      <c r="F7" s="7" t="s">
        <v>191</v>
      </c>
      <c r="G7" s="8" t="s">
        <v>240</v>
      </c>
      <c r="H7" s="7" t="s">
        <v>296</v>
      </c>
      <c r="I7" s="8" t="s">
        <v>334</v>
      </c>
      <c r="J7" s="7">
        <v>6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21</v>
      </c>
      <c r="E8" s="10" t="s">
        <v>108</v>
      </c>
      <c r="F8" s="9" t="s">
        <v>191</v>
      </c>
      <c r="G8" s="10" t="s">
        <v>241</v>
      </c>
      <c r="H8" s="9" t="s">
        <v>294</v>
      </c>
      <c r="I8" s="10" t="s">
        <v>335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22</v>
      </c>
      <c r="E9" s="8" t="s">
        <v>109</v>
      </c>
      <c r="F9" s="7" t="s">
        <v>191</v>
      </c>
      <c r="G9" s="8" t="s">
        <v>242</v>
      </c>
      <c r="H9" s="7" t="s">
        <v>296</v>
      </c>
      <c r="I9" s="8" t="s">
        <v>336</v>
      </c>
      <c r="J9" s="7">
        <v>4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23</v>
      </c>
      <c r="E10" s="10" t="s">
        <v>110</v>
      </c>
      <c r="F10" s="9" t="s">
        <v>191</v>
      </c>
      <c r="G10" s="10" t="s">
        <v>243</v>
      </c>
      <c r="H10" s="9" t="s">
        <v>294</v>
      </c>
      <c r="I10" s="10" t="s">
        <v>337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2</v>
      </c>
      <c r="D11" s="7" t="s">
        <v>24</v>
      </c>
      <c r="E11" s="8" t="s">
        <v>111</v>
      </c>
      <c r="F11" s="7" t="s">
        <v>193</v>
      </c>
      <c r="G11" s="8" t="s">
        <v>244</v>
      </c>
      <c r="H11" s="7" t="s">
        <v>297</v>
      </c>
      <c r="I11" s="8" t="s">
        <v>338</v>
      </c>
      <c r="J11" s="7">
        <v>8</v>
      </c>
      <c r="K11" s="14" t="s">
        <v>393</v>
      </c>
    </row>
    <row r="12" spans="1:11" ht="24.75" thickBot="1" x14ac:dyDescent="0.3">
      <c r="A12" s="1"/>
      <c r="B12" s="11">
        <f t="shared" si="0"/>
        <v>10</v>
      </c>
      <c r="C12" s="12" t="s">
        <v>2</v>
      </c>
      <c r="D12" s="9" t="s">
        <v>25</v>
      </c>
      <c r="E12" s="10" t="s">
        <v>112</v>
      </c>
      <c r="F12" s="9" t="s">
        <v>191</v>
      </c>
      <c r="G12" s="10" t="s">
        <v>245</v>
      </c>
      <c r="H12" s="9" t="s">
        <v>298</v>
      </c>
      <c r="I12" s="10" t="s">
        <v>339</v>
      </c>
      <c r="J12" s="9">
        <v>1</v>
      </c>
      <c r="K12" s="9"/>
    </row>
    <row r="13" spans="1:11" ht="36.75" thickBot="1" x14ac:dyDescent="0.3">
      <c r="A13" s="1"/>
      <c r="B13" s="11">
        <f>ROW(B13) - ROW($B$2)</f>
        <v>11</v>
      </c>
      <c r="C13" s="12" t="s">
        <v>2</v>
      </c>
      <c r="D13" s="7" t="s">
        <v>26</v>
      </c>
      <c r="E13" s="8" t="s">
        <v>113</v>
      </c>
      <c r="F13" s="7" t="s">
        <v>194</v>
      </c>
      <c r="G13" s="8" t="s">
        <v>194</v>
      </c>
      <c r="H13" s="7" t="s">
        <v>299</v>
      </c>
      <c r="I13" s="8" t="s">
        <v>330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27</v>
      </c>
      <c r="E14" s="10" t="s">
        <v>114</v>
      </c>
      <c r="F14" s="9" t="s">
        <v>195</v>
      </c>
      <c r="G14" s="10" t="s">
        <v>246</v>
      </c>
      <c r="H14" s="9" t="s">
        <v>294</v>
      </c>
      <c r="I14" s="10" t="s">
        <v>340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28</v>
      </c>
      <c r="E15" s="8" t="s">
        <v>115</v>
      </c>
      <c r="F15" s="7" t="s">
        <v>191</v>
      </c>
      <c r="G15" s="8" t="s">
        <v>247</v>
      </c>
      <c r="H15" s="7" t="s">
        <v>295</v>
      </c>
      <c r="I15" s="8" t="s">
        <v>333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2</v>
      </c>
      <c r="D16" s="9" t="s">
        <v>29</v>
      </c>
      <c r="E16" s="10" t="s">
        <v>116</v>
      </c>
      <c r="F16" s="9" t="s">
        <v>192</v>
      </c>
      <c r="G16" s="10" t="s">
        <v>248</v>
      </c>
      <c r="H16" s="9" t="s">
        <v>293</v>
      </c>
      <c r="I16" s="10" t="s">
        <v>341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30</v>
      </c>
      <c r="E17" s="8" t="s">
        <v>117</v>
      </c>
      <c r="F17" s="7" t="s">
        <v>191</v>
      </c>
      <c r="G17" s="8" t="s">
        <v>249</v>
      </c>
      <c r="H17" s="7" t="s">
        <v>293</v>
      </c>
      <c r="I17" s="8" t="s">
        <v>342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2</v>
      </c>
      <c r="D18" s="9" t="s">
        <v>31</v>
      </c>
      <c r="E18" s="10" t="s">
        <v>118</v>
      </c>
      <c r="F18" s="9" t="s">
        <v>192</v>
      </c>
      <c r="G18" s="10">
        <v>885012205080</v>
      </c>
      <c r="H18" s="9" t="s">
        <v>300</v>
      </c>
      <c r="I18" s="10" t="s">
        <v>343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32</v>
      </c>
      <c r="E19" s="8" t="s">
        <v>114</v>
      </c>
      <c r="F19" s="7" t="s">
        <v>191</v>
      </c>
      <c r="G19" s="8" t="s">
        <v>246</v>
      </c>
      <c r="H19" s="7" t="s">
        <v>294</v>
      </c>
      <c r="I19" s="8" t="s">
        <v>340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2</v>
      </c>
      <c r="D20" s="9" t="s">
        <v>33</v>
      </c>
      <c r="E20" s="10" t="s">
        <v>119</v>
      </c>
      <c r="F20" s="9" t="s">
        <v>196</v>
      </c>
      <c r="G20" s="10" t="s">
        <v>250</v>
      </c>
      <c r="H20" s="9" t="s">
        <v>296</v>
      </c>
      <c r="I20" s="10" t="s">
        <v>344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34</v>
      </c>
      <c r="E21" s="8" t="s">
        <v>120</v>
      </c>
      <c r="F21" s="7" t="s">
        <v>195</v>
      </c>
      <c r="G21" s="8" t="s">
        <v>251</v>
      </c>
      <c r="H21" s="7" t="s">
        <v>298</v>
      </c>
      <c r="I21" s="8" t="s">
        <v>336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2" t="s">
        <v>2</v>
      </c>
      <c r="D22" s="20" t="s">
        <v>35</v>
      </c>
      <c r="E22" s="21" t="s">
        <v>121</v>
      </c>
      <c r="F22" s="20" t="s">
        <v>193</v>
      </c>
      <c r="G22" s="21" t="s">
        <v>252</v>
      </c>
      <c r="H22" s="20" t="s">
        <v>293</v>
      </c>
      <c r="I22" s="21" t="s">
        <v>336</v>
      </c>
      <c r="J22" s="20">
        <v>3</v>
      </c>
      <c r="K22" s="20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36</v>
      </c>
      <c r="E23" s="8" t="s">
        <v>122</v>
      </c>
      <c r="F23" s="7" t="s">
        <v>191</v>
      </c>
      <c r="G23" s="8" t="s">
        <v>253</v>
      </c>
      <c r="H23" s="7" t="s">
        <v>301</v>
      </c>
      <c r="I23" s="8" t="s">
        <v>345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2" t="s">
        <v>2</v>
      </c>
      <c r="D24" s="9" t="s">
        <v>37</v>
      </c>
      <c r="E24" s="10" t="s">
        <v>123</v>
      </c>
      <c r="F24" s="9" t="s">
        <v>197</v>
      </c>
      <c r="G24" s="10" t="s">
        <v>254</v>
      </c>
      <c r="H24" s="9" t="s">
        <v>296</v>
      </c>
      <c r="I24" s="10" t="s">
        <v>346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38</v>
      </c>
      <c r="E25" s="8" t="s">
        <v>124</v>
      </c>
      <c r="F25" s="7" t="s">
        <v>198</v>
      </c>
      <c r="G25" s="8" t="s">
        <v>255</v>
      </c>
      <c r="H25" s="7" t="s">
        <v>302</v>
      </c>
      <c r="I25" s="8" t="s">
        <v>347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2" t="s">
        <v>2</v>
      </c>
      <c r="D26" s="9" t="s">
        <v>39</v>
      </c>
      <c r="E26" s="10" t="s">
        <v>125</v>
      </c>
      <c r="F26" s="9" t="s">
        <v>199</v>
      </c>
      <c r="G26" s="10" t="s">
        <v>256</v>
      </c>
      <c r="H26" s="9" t="s">
        <v>297</v>
      </c>
      <c r="I26" s="10" t="s">
        <v>348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</v>
      </c>
      <c r="D27" s="7" t="s">
        <v>40</v>
      </c>
      <c r="E27" s="8" t="s">
        <v>126</v>
      </c>
      <c r="F27" s="7" t="s">
        <v>191</v>
      </c>
      <c r="G27" s="8" t="s">
        <v>257</v>
      </c>
      <c r="H27" s="7" t="s">
        <v>294</v>
      </c>
      <c r="I27" s="8" t="s">
        <v>349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2" t="s">
        <v>2</v>
      </c>
      <c r="D28" s="9" t="s">
        <v>41</v>
      </c>
      <c r="E28" s="10" t="s">
        <v>127</v>
      </c>
      <c r="F28" s="9" t="s">
        <v>191</v>
      </c>
      <c r="G28" s="10" t="s">
        <v>258</v>
      </c>
      <c r="H28" s="9" t="s">
        <v>293</v>
      </c>
      <c r="I28" s="10" t="s">
        <v>350</v>
      </c>
      <c r="J28" s="9">
        <v>4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5</v>
      </c>
      <c r="D29" s="7" t="s">
        <v>42</v>
      </c>
      <c r="E29" s="8" t="s">
        <v>128</v>
      </c>
      <c r="F29" s="7" t="s">
        <v>200</v>
      </c>
      <c r="G29" s="8" t="s">
        <v>200</v>
      </c>
      <c r="H29" s="7" t="s">
        <v>303</v>
      </c>
      <c r="I29" s="8" t="s">
        <v>395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2" t="s">
        <v>5</v>
      </c>
      <c r="D30" s="9" t="s">
        <v>43</v>
      </c>
      <c r="E30" s="10" t="s">
        <v>129</v>
      </c>
      <c r="F30" s="9" t="s">
        <v>201</v>
      </c>
      <c r="G30" s="10" t="s">
        <v>351</v>
      </c>
      <c r="H30" s="9" t="s">
        <v>304</v>
      </c>
      <c r="I30" s="8" t="s">
        <v>395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5</v>
      </c>
      <c r="D31" s="7" t="s">
        <v>44</v>
      </c>
      <c r="E31" s="8" t="s">
        <v>130</v>
      </c>
      <c r="F31" s="7" t="s">
        <v>201</v>
      </c>
      <c r="G31" s="8" t="s">
        <v>352</v>
      </c>
      <c r="H31" s="7" t="s">
        <v>304</v>
      </c>
      <c r="I31" s="8" t="s">
        <v>395</v>
      </c>
      <c r="J31" s="7">
        <v>2</v>
      </c>
      <c r="K31" s="7"/>
    </row>
    <row r="32" spans="1:11" ht="15.75" thickBot="1" x14ac:dyDescent="0.3">
      <c r="A32" s="1"/>
      <c r="B32" s="11">
        <f t="shared" si="0"/>
        <v>30</v>
      </c>
      <c r="C32" s="12" t="s">
        <v>5</v>
      </c>
      <c r="D32" s="9" t="s">
        <v>45</v>
      </c>
      <c r="E32" s="10" t="s">
        <v>131</v>
      </c>
      <c r="F32" s="9" t="s">
        <v>202</v>
      </c>
      <c r="G32" s="10" t="s">
        <v>202</v>
      </c>
      <c r="H32" s="9" t="s">
        <v>305</v>
      </c>
      <c r="I32" s="8" t="s">
        <v>395</v>
      </c>
      <c r="J32" s="9">
        <v>8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46</v>
      </c>
      <c r="E33" s="8" t="s">
        <v>132</v>
      </c>
      <c r="F33" s="7" t="s">
        <v>203</v>
      </c>
      <c r="G33" s="8" t="s">
        <v>259</v>
      </c>
      <c r="H33" s="7" t="s">
        <v>306</v>
      </c>
      <c r="I33" s="8" t="s">
        <v>395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3</v>
      </c>
      <c r="D34" s="20" t="s">
        <v>47</v>
      </c>
      <c r="E34" s="21" t="s">
        <v>133</v>
      </c>
      <c r="F34" s="20" t="s">
        <v>201</v>
      </c>
      <c r="G34" s="21" t="s">
        <v>260</v>
      </c>
      <c r="H34" s="20" t="s">
        <v>307</v>
      </c>
      <c r="I34" s="22" t="s">
        <v>395</v>
      </c>
      <c r="J34" s="20">
        <v>1</v>
      </c>
      <c r="K34" s="20"/>
    </row>
    <row r="35" spans="1:11" ht="15.75" thickBot="1" x14ac:dyDescent="0.3">
      <c r="A35" s="1"/>
      <c r="B35" s="11">
        <f>ROW(B35) - ROW($B$2)</f>
        <v>33</v>
      </c>
      <c r="C35" s="12" t="s">
        <v>4</v>
      </c>
      <c r="D35" s="23" t="s">
        <v>48</v>
      </c>
      <c r="E35" s="22" t="s">
        <v>134</v>
      </c>
      <c r="F35" s="23" t="s">
        <v>204</v>
      </c>
      <c r="G35" s="22" t="s">
        <v>261</v>
      </c>
      <c r="H35" s="23" t="s">
        <v>308</v>
      </c>
      <c r="I35" s="22" t="s">
        <v>395</v>
      </c>
      <c r="J35" s="23">
        <v>1</v>
      </c>
      <c r="K35" s="23"/>
    </row>
    <row r="36" spans="1:11" ht="15.75" thickBot="1" x14ac:dyDescent="0.3">
      <c r="A36" s="1"/>
      <c r="B36" s="11">
        <f t="shared" si="0"/>
        <v>34</v>
      </c>
      <c r="C36" s="13" t="s">
        <v>5</v>
      </c>
      <c r="D36" s="20" t="s">
        <v>49</v>
      </c>
      <c r="E36" s="21" t="s">
        <v>135</v>
      </c>
      <c r="F36" s="20" t="s">
        <v>205</v>
      </c>
      <c r="G36" s="21" t="s">
        <v>262</v>
      </c>
      <c r="H36" s="20" t="s">
        <v>309</v>
      </c>
      <c r="I36" s="22" t="s">
        <v>395</v>
      </c>
      <c r="J36" s="20">
        <v>1</v>
      </c>
      <c r="K36" s="20"/>
    </row>
    <row r="37" spans="1:11" ht="15.75" thickBot="1" x14ac:dyDescent="0.3">
      <c r="A37" s="1"/>
      <c r="B37" s="11">
        <f>ROW(B37) - ROW($B$2)</f>
        <v>35</v>
      </c>
      <c r="C37" s="12" t="s">
        <v>5</v>
      </c>
      <c r="D37" s="23" t="s">
        <v>50</v>
      </c>
      <c r="E37" s="22" t="s">
        <v>136</v>
      </c>
      <c r="F37" s="23" t="s">
        <v>206</v>
      </c>
      <c r="G37" s="22" t="s">
        <v>263</v>
      </c>
      <c r="H37" s="23" t="s">
        <v>310</v>
      </c>
      <c r="I37" s="22" t="s">
        <v>395</v>
      </c>
      <c r="J37" s="23">
        <v>2</v>
      </c>
      <c r="K37" s="23"/>
    </row>
    <row r="38" spans="1:11" ht="15.75" thickBot="1" x14ac:dyDescent="0.3">
      <c r="A38" s="1"/>
      <c r="B38" s="11">
        <f t="shared" si="0"/>
        <v>36</v>
      </c>
      <c r="C38" s="13" t="s">
        <v>6</v>
      </c>
      <c r="D38" s="9" t="s">
        <v>51</v>
      </c>
      <c r="E38" s="10" t="s">
        <v>137</v>
      </c>
      <c r="F38" s="9" t="s">
        <v>207</v>
      </c>
      <c r="G38" s="10" t="s">
        <v>353</v>
      </c>
      <c r="H38" s="9"/>
      <c r="I38" s="8" t="s">
        <v>395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7</v>
      </c>
      <c r="D39" s="7" t="s">
        <v>52</v>
      </c>
      <c r="E39" s="8" t="s">
        <v>138</v>
      </c>
      <c r="F39" s="7" t="s">
        <v>208</v>
      </c>
      <c r="G39" s="8" t="s">
        <v>354</v>
      </c>
      <c r="H39" s="7"/>
      <c r="I39" s="8" t="s">
        <v>395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7</v>
      </c>
      <c r="D40" s="9" t="s">
        <v>53</v>
      </c>
      <c r="E40" s="10" t="s">
        <v>139</v>
      </c>
      <c r="F40" s="9" t="s">
        <v>209</v>
      </c>
      <c r="G40" s="10" t="s">
        <v>355</v>
      </c>
      <c r="H40" s="9"/>
      <c r="I40" s="8" t="s">
        <v>395</v>
      </c>
      <c r="J40" s="9">
        <v>2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3</v>
      </c>
      <c r="D41" s="7" t="s">
        <v>54</v>
      </c>
      <c r="E41" s="8" t="s">
        <v>140</v>
      </c>
      <c r="F41" s="7" t="s">
        <v>205</v>
      </c>
      <c r="G41" s="8" t="s">
        <v>264</v>
      </c>
      <c r="H41" s="7" t="s">
        <v>311</v>
      </c>
      <c r="I41" s="8" t="s">
        <v>395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8</v>
      </c>
      <c r="D42" s="20" t="s">
        <v>55</v>
      </c>
      <c r="E42" s="21" t="s">
        <v>141</v>
      </c>
      <c r="F42" s="20" t="s">
        <v>210</v>
      </c>
      <c r="G42" s="21" t="s">
        <v>265</v>
      </c>
      <c r="H42" s="20" t="s">
        <v>312</v>
      </c>
      <c r="I42" s="22" t="s">
        <v>395</v>
      </c>
      <c r="J42" s="20">
        <v>1</v>
      </c>
      <c r="K42" s="20"/>
    </row>
    <row r="43" spans="1:11" ht="36.75" thickBot="1" x14ac:dyDescent="0.3">
      <c r="A43" s="1"/>
      <c r="B43" s="11">
        <f>ROW(B43) - ROW($B$2)</f>
        <v>41</v>
      </c>
      <c r="C43" s="12" t="s">
        <v>387</v>
      </c>
      <c r="D43" s="7" t="s">
        <v>56</v>
      </c>
      <c r="E43" s="8" t="s">
        <v>142</v>
      </c>
      <c r="F43" s="7" t="s">
        <v>211</v>
      </c>
      <c r="G43" s="8" t="s">
        <v>211</v>
      </c>
      <c r="H43" s="7" t="s">
        <v>298</v>
      </c>
      <c r="I43" s="8" t="s">
        <v>395</v>
      </c>
      <c r="J43" s="7">
        <v>4</v>
      </c>
      <c r="K43" s="7"/>
    </row>
    <row r="44" spans="1:11" ht="36.75" thickBot="1" x14ac:dyDescent="0.3">
      <c r="A44" s="1"/>
      <c r="B44" s="11">
        <f t="shared" si="0"/>
        <v>42</v>
      </c>
      <c r="C44" s="13" t="s">
        <v>388</v>
      </c>
      <c r="D44" s="9" t="s">
        <v>57</v>
      </c>
      <c r="E44" s="10" t="s">
        <v>143</v>
      </c>
      <c r="F44" s="9" t="s">
        <v>212</v>
      </c>
      <c r="G44" s="10" t="s">
        <v>212</v>
      </c>
      <c r="H44" s="9" t="s">
        <v>313</v>
      </c>
      <c r="I44" s="8" t="s">
        <v>395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9</v>
      </c>
      <c r="D45" s="7" t="s">
        <v>58</v>
      </c>
      <c r="E45" s="8" t="s">
        <v>144</v>
      </c>
      <c r="F45" s="7">
        <v>855115001</v>
      </c>
      <c r="G45" s="8" t="s">
        <v>266</v>
      </c>
      <c r="H45" s="7" t="s">
        <v>314</v>
      </c>
      <c r="I45" s="8" t="s">
        <v>395</v>
      </c>
      <c r="J45" s="7">
        <v>2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388</v>
      </c>
      <c r="D46" s="9" t="s">
        <v>59</v>
      </c>
      <c r="E46" s="10" t="s">
        <v>145</v>
      </c>
      <c r="F46" s="9" t="s">
        <v>213</v>
      </c>
      <c r="G46" s="10" t="s">
        <v>213</v>
      </c>
      <c r="H46" s="9" t="s">
        <v>315</v>
      </c>
      <c r="I46" s="8" t="s">
        <v>395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3" t="s">
        <v>388</v>
      </c>
      <c r="D47" s="7" t="s">
        <v>60</v>
      </c>
      <c r="E47" s="8" t="s">
        <v>146</v>
      </c>
      <c r="F47" s="7" t="s">
        <v>214</v>
      </c>
      <c r="G47" s="8" t="s">
        <v>214</v>
      </c>
      <c r="H47" s="7" t="s">
        <v>316</v>
      </c>
      <c r="I47" s="8" t="s">
        <v>395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388</v>
      </c>
      <c r="D48" s="9" t="s">
        <v>61</v>
      </c>
      <c r="E48" s="10" t="s">
        <v>147</v>
      </c>
      <c r="F48" s="9">
        <v>533980367</v>
      </c>
      <c r="G48" s="10">
        <v>533980367</v>
      </c>
      <c r="H48" s="9" t="s">
        <v>314</v>
      </c>
      <c r="I48" s="8" t="s">
        <v>395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3" t="s">
        <v>388</v>
      </c>
      <c r="D49" s="7" t="s">
        <v>62</v>
      </c>
      <c r="E49" s="8" t="s">
        <v>148</v>
      </c>
      <c r="F49" s="7" t="s">
        <v>215</v>
      </c>
      <c r="G49" s="8" t="s">
        <v>215</v>
      </c>
      <c r="H49" s="7" t="s">
        <v>316</v>
      </c>
      <c r="I49" s="8" t="s">
        <v>395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10</v>
      </c>
      <c r="D50" s="9" t="s">
        <v>63</v>
      </c>
      <c r="E50" s="10" t="s">
        <v>149</v>
      </c>
      <c r="F50" s="9" t="s">
        <v>216</v>
      </c>
      <c r="G50" s="10" t="s">
        <v>216</v>
      </c>
      <c r="H50" s="9" t="s">
        <v>298</v>
      </c>
      <c r="I50" s="10" t="s">
        <v>356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3" t="s">
        <v>10</v>
      </c>
      <c r="D51" s="7" t="s">
        <v>64</v>
      </c>
      <c r="E51" s="8" t="s">
        <v>150</v>
      </c>
      <c r="F51" s="7" t="s">
        <v>217</v>
      </c>
      <c r="G51" s="8" t="s">
        <v>217</v>
      </c>
      <c r="H51" s="7" t="s">
        <v>317</v>
      </c>
      <c r="I51" s="8" t="s">
        <v>357</v>
      </c>
      <c r="J51" s="7">
        <v>1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10</v>
      </c>
      <c r="D52" s="9" t="s">
        <v>65</v>
      </c>
      <c r="E52" s="10" t="s">
        <v>151</v>
      </c>
      <c r="F52" s="9" t="s">
        <v>218</v>
      </c>
      <c r="G52" s="10" t="s">
        <v>218</v>
      </c>
      <c r="H52" s="9" t="s">
        <v>318</v>
      </c>
      <c r="I52" s="10" t="s">
        <v>358</v>
      </c>
      <c r="J52" s="9">
        <v>1</v>
      </c>
      <c r="K52" s="9"/>
    </row>
    <row r="53" spans="1:11" ht="24.75" thickBot="1" x14ac:dyDescent="0.3">
      <c r="A53" s="1"/>
      <c r="B53" s="11">
        <f>ROW(B53) - ROW($B$2)</f>
        <v>51</v>
      </c>
      <c r="C53" s="12" t="s">
        <v>389</v>
      </c>
      <c r="D53" s="7" t="s">
        <v>66</v>
      </c>
      <c r="E53" s="8" t="s">
        <v>152</v>
      </c>
      <c r="F53" s="7" t="s">
        <v>219</v>
      </c>
      <c r="G53" s="8" t="s">
        <v>219</v>
      </c>
      <c r="H53" s="7" t="s">
        <v>319</v>
      </c>
      <c r="I53" s="8" t="s">
        <v>395</v>
      </c>
      <c r="J53" s="7">
        <v>1</v>
      </c>
      <c r="K53" s="7"/>
    </row>
    <row r="54" spans="1:11" ht="24.75" thickBot="1" x14ac:dyDescent="0.3">
      <c r="A54" s="1"/>
      <c r="B54" s="11">
        <f t="shared" si="0"/>
        <v>52</v>
      </c>
      <c r="C54" s="13" t="s">
        <v>11</v>
      </c>
      <c r="D54" s="9" t="s">
        <v>67</v>
      </c>
      <c r="E54" s="10" t="s">
        <v>153</v>
      </c>
      <c r="F54" s="9">
        <v>2158</v>
      </c>
      <c r="G54" s="10">
        <v>2158</v>
      </c>
      <c r="H54" s="9" t="s">
        <v>320</v>
      </c>
      <c r="I54" s="10" t="s">
        <v>395</v>
      </c>
      <c r="J54" s="9">
        <v>2</v>
      </c>
      <c r="K54" s="15" t="s">
        <v>394</v>
      </c>
    </row>
    <row r="55" spans="1:11" ht="15.75" thickBot="1" x14ac:dyDescent="0.3">
      <c r="A55" s="1"/>
      <c r="B55" s="11">
        <f>ROW(B55) - ROW($B$2)</f>
        <v>53</v>
      </c>
      <c r="C55" s="17" t="s">
        <v>359</v>
      </c>
      <c r="D55" s="18" t="s">
        <v>68</v>
      </c>
      <c r="E55" s="19" t="s">
        <v>154</v>
      </c>
      <c r="F55" s="18" t="s">
        <v>395</v>
      </c>
      <c r="G55" s="18" t="s">
        <v>220</v>
      </c>
      <c r="H55" s="18" t="s">
        <v>395</v>
      </c>
      <c r="I55" s="19" t="s">
        <v>395</v>
      </c>
      <c r="J55" s="18">
        <v>4</v>
      </c>
      <c r="K55" s="18"/>
    </row>
    <row r="56" spans="1:11" ht="60.75" thickBot="1" x14ac:dyDescent="0.3">
      <c r="A56" s="1"/>
      <c r="B56" s="11">
        <f t="shared" si="0"/>
        <v>54</v>
      </c>
      <c r="C56" s="12" t="s">
        <v>12</v>
      </c>
      <c r="D56" s="9" t="s">
        <v>69</v>
      </c>
      <c r="E56" s="10" t="s">
        <v>155</v>
      </c>
      <c r="F56" s="9" t="s">
        <v>221</v>
      </c>
      <c r="G56" s="10" t="s">
        <v>221</v>
      </c>
      <c r="H56" s="9" t="s">
        <v>307</v>
      </c>
      <c r="I56" s="10" t="s">
        <v>395</v>
      </c>
      <c r="J56" s="9">
        <v>4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12</v>
      </c>
      <c r="D57" s="23" t="s">
        <v>70</v>
      </c>
      <c r="E57" s="22" t="s">
        <v>156</v>
      </c>
      <c r="F57" s="23" t="s">
        <v>222</v>
      </c>
      <c r="G57" s="22" t="s">
        <v>267</v>
      </c>
      <c r="H57" s="23" t="s">
        <v>321</v>
      </c>
      <c r="I57" s="22" t="s">
        <v>395</v>
      </c>
      <c r="J57" s="23">
        <v>1</v>
      </c>
      <c r="K57" s="23"/>
    </row>
    <row r="58" spans="1:11" ht="15.75" thickBot="1" x14ac:dyDescent="0.3">
      <c r="A58" s="1"/>
      <c r="B58" s="11">
        <f t="shared" si="0"/>
        <v>56</v>
      </c>
      <c r="C58" s="13" t="s">
        <v>13</v>
      </c>
      <c r="D58" s="9" t="s">
        <v>71</v>
      </c>
      <c r="E58" s="10" t="s">
        <v>157</v>
      </c>
      <c r="F58" s="9" t="s">
        <v>223</v>
      </c>
      <c r="G58" s="10" t="s">
        <v>268</v>
      </c>
      <c r="H58" s="9" t="s">
        <v>294</v>
      </c>
      <c r="I58" s="10" t="s">
        <v>360</v>
      </c>
      <c r="J58" s="9">
        <v>2</v>
      </c>
      <c r="K58" s="9"/>
    </row>
    <row r="59" spans="1:11" ht="24.75" thickBot="1" x14ac:dyDescent="0.3">
      <c r="A59" s="1"/>
      <c r="B59" s="11">
        <f>ROW(B59) - ROW($B$2)</f>
        <v>57</v>
      </c>
      <c r="C59" s="13" t="s">
        <v>13</v>
      </c>
      <c r="D59" s="7" t="s">
        <v>72</v>
      </c>
      <c r="E59" s="8" t="s">
        <v>158</v>
      </c>
      <c r="F59" s="7" t="s">
        <v>223</v>
      </c>
      <c r="G59" s="8" t="s">
        <v>269</v>
      </c>
      <c r="H59" s="7" t="s">
        <v>294</v>
      </c>
      <c r="I59" s="8" t="s">
        <v>361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3" t="s">
        <v>13</v>
      </c>
      <c r="D60" s="9" t="s">
        <v>73</v>
      </c>
      <c r="E60" s="10" t="s">
        <v>159</v>
      </c>
      <c r="F60" s="9" t="s">
        <v>223</v>
      </c>
      <c r="G60" s="10" t="s">
        <v>270</v>
      </c>
      <c r="H60" s="9" t="s">
        <v>301</v>
      </c>
      <c r="I60" s="10" t="s">
        <v>362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3" t="s">
        <v>13</v>
      </c>
      <c r="D61" s="23" t="s">
        <v>403</v>
      </c>
      <c r="E61" s="22" t="s">
        <v>160</v>
      </c>
      <c r="F61" s="23" t="s">
        <v>223</v>
      </c>
      <c r="G61" s="22" t="s">
        <v>271</v>
      </c>
      <c r="H61" s="23" t="s">
        <v>294</v>
      </c>
      <c r="I61" s="22" t="s">
        <v>363</v>
      </c>
      <c r="J61" s="23">
        <v>6</v>
      </c>
      <c r="K61" s="25" t="s">
        <v>404</v>
      </c>
    </row>
    <row r="62" spans="1:11" ht="15.75" thickBot="1" x14ac:dyDescent="0.3">
      <c r="A62" s="1"/>
      <c r="B62" s="11">
        <f t="shared" si="0"/>
        <v>60</v>
      </c>
      <c r="C62" s="13" t="s">
        <v>13</v>
      </c>
      <c r="D62" s="9" t="s">
        <v>74</v>
      </c>
      <c r="E62" s="10" t="s">
        <v>161</v>
      </c>
      <c r="F62" s="9" t="s">
        <v>223</v>
      </c>
      <c r="G62" s="10" t="s">
        <v>272</v>
      </c>
      <c r="H62" s="9" t="s">
        <v>294</v>
      </c>
      <c r="I62" s="10" t="s">
        <v>364</v>
      </c>
      <c r="J62" s="9">
        <v>4</v>
      </c>
      <c r="K62" s="9"/>
    </row>
    <row r="63" spans="1:11" ht="15.75" thickBot="1" x14ac:dyDescent="0.3">
      <c r="A63" s="1"/>
      <c r="B63" s="11">
        <f>ROW(B63) - ROW($B$2)</f>
        <v>61</v>
      </c>
      <c r="C63" s="13" t="s">
        <v>13</v>
      </c>
      <c r="D63" s="7" t="s">
        <v>75</v>
      </c>
      <c r="E63" s="8" t="s">
        <v>162</v>
      </c>
      <c r="F63" s="7" t="s">
        <v>224</v>
      </c>
      <c r="G63" s="8" t="s">
        <v>273</v>
      </c>
      <c r="H63" s="7" t="s">
        <v>294</v>
      </c>
      <c r="I63" s="8" t="s">
        <v>365</v>
      </c>
      <c r="J63" s="7">
        <v>1</v>
      </c>
      <c r="K63" s="7"/>
    </row>
    <row r="64" spans="1:11" ht="24.75" thickBot="1" x14ac:dyDescent="0.3">
      <c r="A64" s="1"/>
      <c r="B64" s="11">
        <f t="shared" si="0"/>
        <v>62</v>
      </c>
      <c r="C64" s="13" t="s">
        <v>13</v>
      </c>
      <c r="D64" s="9" t="s">
        <v>76</v>
      </c>
      <c r="E64" s="10" t="s">
        <v>163</v>
      </c>
      <c r="F64" s="9" t="s">
        <v>225</v>
      </c>
      <c r="G64" s="10" t="s">
        <v>274</v>
      </c>
      <c r="H64" s="9" t="s">
        <v>322</v>
      </c>
      <c r="I64" s="10" t="s">
        <v>366</v>
      </c>
      <c r="J64" s="9">
        <v>2</v>
      </c>
      <c r="K64" s="9"/>
    </row>
    <row r="65" spans="1:11" ht="24.75" thickBot="1" x14ac:dyDescent="0.3">
      <c r="A65" s="1"/>
      <c r="B65" s="11">
        <f>ROW(B65) - ROW($B$2)</f>
        <v>63</v>
      </c>
      <c r="C65" s="13" t="s">
        <v>13</v>
      </c>
      <c r="D65" s="7" t="s">
        <v>77</v>
      </c>
      <c r="E65" s="8" t="s">
        <v>164</v>
      </c>
      <c r="F65" s="7" t="s">
        <v>223</v>
      </c>
      <c r="G65" s="8" t="s">
        <v>275</v>
      </c>
      <c r="H65" s="7" t="s">
        <v>323</v>
      </c>
      <c r="I65" s="8" t="s">
        <v>367</v>
      </c>
      <c r="J65" s="7">
        <v>8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13</v>
      </c>
      <c r="D66" s="9" t="s">
        <v>78</v>
      </c>
      <c r="E66" s="10" t="s">
        <v>165</v>
      </c>
      <c r="F66" s="9" t="s">
        <v>223</v>
      </c>
      <c r="G66" s="10" t="s">
        <v>276</v>
      </c>
      <c r="H66" s="9" t="s">
        <v>294</v>
      </c>
      <c r="I66" s="10" t="s">
        <v>368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3" t="s">
        <v>13</v>
      </c>
      <c r="D67" s="7" t="s">
        <v>79</v>
      </c>
      <c r="E67" s="8" t="s">
        <v>166</v>
      </c>
      <c r="F67" s="7" t="s">
        <v>223</v>
      </c>
      <c r="G67" s="8" t="s">
        <v>277</v>
      </c>
      <c r="H67" s="7" t="s">
        <v>292</v>
      </c>
      <c r="I67" s="8" t="s">
        <v>369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13</v>
      </c>
      <c r="D68" s="20" t="s">
        <v>80</v>
      </c>
      <c r="E68" s="21" t="s">
        <v>167</v>
      </c>
      <c r="F68" s="20" t="s">
        <v>223</v>
      </c>
      <c r="G68" s="21" t="s">
        <v>278</v>
      </c>
      <c r="H68" s="20" t="s">
        <v>294</v>
      </c>
      <c r="I68" s="21" t="s">
        <v>370</v>
      </c>
      <c r="J68" s="20">
        <v>1</v>
      </c>
      <c r="K68" s="20"/>
    </row>
    <row r="69" spans="1:11" ht="15.75" thickBot="1" x14ac:dyDescent="0.3">
      <c r="A69" s="1"/>
      <c r="B69" s="11">
        <f>ROW(B69) - ROW($B$2)</f>
        <v>67</v>
      </c>
      <c r="C69" s="13" t="s">
        <v>13</v>
      </c>
      <c r="D69" s="7" t="s">
        <v>81</v>
      </c>
      <c r="E69" s="8" t="s">
        <v>168</v>
      </c>
      <c r="F69" s="7" t="s">
        <v>223</v>
      </c>
      <c r="G69" s="8" t="s">
        <v>279</v>
      </c>
      <c r="H69" s="7" t="s">
        <v>294</v>
      </c>
      <c r="I69" s="8" t="s">
        <v>371</v>
      </c>
      <c r="J69" s="7">
        <v>1</v>
      </c>
      <c r="K69" s="7"/>
    </row>
    <row r="70" spans="1:11" ht="36.75" thickBot="1" x14ac:dyDescent="0.3">
      <c r="A70" s="1"/>
      <c r="B70" s="11">
        <f t="shared" si="0"/>
        <v>68</v>
      </c>
      <c r="C70" s="13" t="s">
        <v>13</v>
      </c>
      <c r="D70" s="9" t="s">
        <v>82</v>
      </c>
      <c r="E70" s="10" t="s">
        <v>169</v>
      </c>
      <c r="F70" s="9" t="s">
        <v>223</v>
      </c>
      <c r="G70" s="10" t="s">
        <v>280</v>
      </c>
      <c r="H70" s="9" t="s">
        <v>294</v>
      </c>
      <c r="I70" s="10" t="s">
        <v>372</v>
      </c>
      <c r="J70" s="9">
        <v>2</v>
      </c>
      <c r="K70" s="9"/>
    </row>
    <row r="71" spans="1:11" ht="15.75" thickBot="1" x14ac:dyDescent="0.3">
      <c r="A71" s="1"/>
      <c r="B71" s="11">
        <f>ROW(B71) - ROW($B$2)</f>
        <v>69</v>
      </c>
      <c r="C71" s="13" t="s">
        <v>13</v>
      </c>
      <c r="D71" s="7" t="s">
        <v>83</v>
      </c>
      <c r="E71" s="8" t="s">
        <v>170</v>
      </c>
      <c r="F71" s="7" t="s">
        <v>223</v>
      </c>
      <c r="G71" s="8" t="s">
        <v>281</v>
      </c>
      <c r="H71" s="7" t="s">
        <v>294</v>
      </c>
      <c r="I71" s="8" t="s">
        <v>373</v>
      </c>
      <c r="J71" s="7">
        <v>2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13</v>
      </c>
      <c r="D72" s="9" t="s">
        <v>84</v>
      </c>
      <c r="E72" s="10" t="s">
        <v>171</v>
      </c>
      <c r="F72" s="9" t="s">
        <v>223</v>
      </c>
      <c r="G72" s="10" t="s">
        <v>282</v>
      </c>
      <c r="H72" s="9" t="s">
        <v>294</v>
      </c>
      <c r="I72" s="10" t="s">
        <v>374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3" t="s">
        <v>13</v>
      </c>
      <c r="D73" s="7" t="s">
        <v>85</v>
      </c>
      <c r="E73" s="8" t="s">
        <v>172</v>
      </c>
      <c r="F73" s="7" t="s">
        <v>223</v>
      </c>
      <c r="G73" s="8" t="s">
        <v>283</v>
      </c>
      <c r="H73" s="7" t="s">
        <v>294</v>
      </c>
      <c r="I73" s="8" t="s">
        <v>375</v>
      </c>
      <c r="J73" s="7">
        <v>2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13</v>
      </c>
      <c r="D74" s="9" t="s">
        <v>86</v>
      </c>
      <c r="E74" s="10" t="s">
        <v>173</v>
      </c>
      <c r="F74" s="9" t="s">
        <v>223</v>
      </c>
      <c r="G74" s="10" t="s">
        <v>284</v>
      </c>
      <c r="H74" s="9" t="s">
        <v>292</v>
      </c>
      <c r="I74" s="10" t="s">
        <v>376</v>
      </c>
      <c r="J74" s="9">
        <v>1</v>
      </c>
      <c r="K74" s="9"/>
    </row>
    <row r="75" spans="1:11" ht="24.75" thickBot="1" x14ac:dyDescent="0.3">
      <c r="A75" s="1"/>
      <c r="B75" s="11">
        <f>ROW(B75) - ROW($B$2)</f>
        <v>73</v>
      </c>
      <c r="C75" s="13" t="s">
        <v>13</v>
      </c>
      <c r="D75" s="7" t="s">
        <v>87</v>
      </c>
      <c r="E75" s="8" t="s">
        <v>174</v>
      </c>
      <c r="F75" s="7" t="s">
        <v>223</v>
      </c>
      <c r="G75" s="8" t="s">
        <v>285</v>
      </c>
      <c r="H75" s="7" t="s">
        <v>323</v>
      </c>
      <c r="I75" s="8" t="s">
        <v>377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13</v>
      </c>
      <c r="D76" s="9" t="s">
        <v>88</v>
      </c>
      <c r="E76" s="10" t="s">
        <v>175</v>
      </c>
      <c r="F76" s="9" t="s">
        <v>223</v>
      </c>
      <c r="G76" s="10" t="s">
        <v>286</v>
      </c>
      <c r="H76" s="9" t="s">
        <v>294</v>
      </c>
      <c r="I76" s="10" t="s">
        <v>378</v>
      </c>
      <c r="J76" s="9">
        <v>6</v>
      </c>
      <c r="K76" s="9"/>
    </row>
    <row r="77" spans="1:11" ht="36.75" thickBot="1" x14ac:dyDescent="0.3">
      <c r="A77" s="1"/>
      <c r="B77" s="11">
        <f>ROW(B77) - ROW($B$2)</f>
        <v>75</v>
      </c>
      <c r="C77" s="13" t="s">
        <v>13</v>
      </c>
      <c r="D77" s="7" t="s">
        <v>89</v>
      </c>
      <c r="E77" s="8" t="s">
        <v>176</v>
      </c>
      <c r="F77" s="7" t="s">
        <v>223</v>
      </c>
      <c r="G77" s="8" t="s">
        <v>401</v>
      </c>
      <c r="H77" s="7" t="s">
        <v>323</v>
      </c>
      <c r="I77" s="8" t="s">
        <v>379</v>
      </c>
      <c r="J77" s="7">
        <v>1</v>
      </c>
      <c r="K77" s="7"/>
    </row>
    <row r="78" spans="1:11" ht="36.75" thickBot="1" x14ac:dyDescent="0.3">
      <c r="A78" s="1"/>
      <c r="B78" s="11">
        <f t="shared" si="0"/>
        <v>76</v>
      </c>
      <c r="C78" s="13" t="s">
        <v>13</v>
      </c>
      <c r="D78" s="9" t="s">
        <v>90</v>
      </c>
      <c r="E78" s="10" t="s">
        <v>177</v>
      </c>
      <c r="F78" s="9" t="s">
        <v>223</v>
      </c>
      <c r="G78" s="10" t="s">
        <v>402</v>
      </c>
      <c r="H78" s="9" t="s">
        <v>324</v>
      </c>
      <c r="I78" s="10" t="s">
        <v>380</v>
      </c>
      <c r="J78" s="9">
        <v>1</v>
      </c>
      <c r="K78" s="9"/>
    </row>
    <row r="79" spans="1:11" ht="36.75" thickBot="1" x14ac:dyDescent="0.3">
      <c r="A79" s="1"/>
      <c r="B79" s="11">
        <f>ROW(B79) - ROW($B$2)</f>
        <v>77</v>
      </c>
      <c r="C79" s="12" t="s">
        <v>390</v>
      </c>
      <c r="D79" s="7" t="s">
        <v>91</v>
      </c>
      <c r="E79" s="8" t="s">
        <v>178</v>
      </c>
      <c r="F79" s="7" t="s">
        <v>395</v>
      </c>
      <c r="G79" s="7" t="s">
        <v>226</v>
      </c>
      <c r="H79" s="7" t="s">
        <v>325</v>
      </c>
      <c r="I79" s="8" t="s">
        <v>395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391</v>
      </c>
      <c r="D80" s="9" t="s">
        <v>92</v>
      </c>
      <c r="E80" s="10" t="s">
        <v>179</v>
      </c>
      <c r="F80" s="9">
        <v>750314597</v>
      </c>
      <c r="G80" s="10">
        <v>750314597</v>
      </c>
      <c r="H80" s="9" t="s">
        <v>326</v>
      </c>
      <c r="I80" s="8" t="s">
        <v>395</v>
      </c>
      <c r="J80" s="9">
        <v>1</v>
      </c>
      <c r="K80" s="9"/>
    </row>
    <row r="81" spans="1:11" ht="15.75" thickBot="1" x14ac:dyDescent="0.3">
      <c r="A81" s="1"/>
      <c r="B81" s="11">
        <f>ROW(B81) - ROW($B$2)</f>
        <v>79</v>
      </c>
      <c r="C81" s="12" t="s">
        <v>14</v>
      </c>
      <c r="D81" s="7" t="s">
        <v>93</v>
      </c>
      <c r="E81" s="8" t="s">
        <v>180</v>
      </c>
      <c r="F81" s="7" t="s">
        <v>227</v>
      </c>
      <c r="G81" s="8" t="s">
        <v>227</v>
      </c>
      <c r="H81" s="7" t="s">
        <v>308</v>
      </c>
      <c r="I81" s="8" t="s">
        <v>395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14</v>
      </c>
      <c r="D82" s="9" t="s">
        <v>94</v>
      </c>
      <c r="E82" s="10" t="s">
        <v>181</v>
      </c>
      <c r="F82" s="9" t="s">
        <v>228</v>
      </c>
      <c r="G82" s="10" t="s">
        <v>287</v>
      </c>
      <c r="H82" s="9" t="s">
        <v>327</v>
      </c>
      <c r="I82" s="8" t="s">
        <v>395</v>
      </c>
      <c r="J82" s="9">
        <v>1</v>
      </c>
      <c r="K82" s="9"/>
    </row>
    <row r="83" spans="1:11" ht="36.75" thickBot="1" x14ac:dyDescent="0.3">
      <c r="A83" s="1"/>
      <c r="B83" s="11">
        <f>ROW(B83) - ROW($B$2)</f>
        <v>81</v>
      </c>
      <c r="C83" s="13" t="s">
        <v>14</v>
      </c>
      <c r="D83" s="7" t="s">
        <v>95</v>
      </c>
      <c r="E83" s="8" t="s">
        <v>182</v>
      </c>
      <c r="F83" s="7" t="s">
        <v>229</v>
      </c>
      <c r="G83" s="8" t="s">
        <v>288</v>
      </c>
      <c r="H83" s="7" t="s">
        <v>328</v>
      </c>
      <c r="I83" s="8" t="s">
        <v>395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14</v>
      </c>
      <c r="D84" s="9" t="s">
        <v>96</v>
      </c>
      <c r="E84" s="10" t="s">
        <v>183</v>
      </c>
      <c r="F84" s="9" t="s">
        <v>230</v>
      </c>
      <c r="G84" s="10" t="s">
        <v>230</v>
      </c>
      <c r="H84" s="9" t="s">
        <v>308</v>
      </c>
      <c r="I84" s="8" t="s">
        <v>395</v>
      </c>
      <c r="J84" s="9">
        <v>1</v>
      </c>
      <c r="K84" s="9"/>
    </row>
    <row r="85" spans="1:11" ht="36.75" thickBot="1" x14ac:dyDescent="0.3">
      <c r="A85" s="1"/>
      <c r="B85" s="11">
        <f>ROW(B85) - ROW($B$2)</f>
        <v>83</v>
      </c>
      <c r="C85" s="13" t="s">
        <v>14</v>
      </c>
      <c r="D85" s="7" t="s">
        <v>97</v>
      </c>
      <c r="E85" s="8" t="s">
        <v>184</v>
      </c>
      <c r="F85" s="7" t="s">
        <v>231</v>
      </c>
      <c r="G85" s="8" t="s">
        <v>289</v>
      </c>
      <c r="H85" s="7" t="s">
        <v>308</v>
      </c>
      <c r="I85" s="8" t="s">
        <v>395</v>
      </c>
      <c r="J85" s="7">
        <v>1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14</v>
      </c>
      <c r="D86" s="9" t="s">
        <v>98</v>
      </c>
      <c r="E86" s="10" t="s">
        <v>185</v>
      </c>
      <c r="F86" s="9" t="s">
        <v>232</v>
      </c>
      <c r="G86" s="10" t="s">
        <v>290</v>
      </c>
      <c r="H86" s="9" t="s">
        <v>329</v>
      </c>
      <c r="I86" s="8" t="s">
        <v>395</v>
      </c>
      <c r="J86" s="9">
        <v>1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14</v>
      </c>
      <c r="D87" s="7" t="s">
        <v>99</v>
      </c>
      <c r="E87" s="8" t="s">
        <v>186</v>
      </c>
      <c r="F87" s="7" t="s">
        <v>233</v>
      </c>
      <c r="G87" s="8" t="s">
        <v>381</v>
      </c>
      <c r="H87" s="7"/>
      <c r="I87" s="8" t="s">
        <v>395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14</v>
      </c>
      <c r="D88" s="9" t="s">
        <v>100</v>
      </c>
      <c r="E88" s="10" t="s">
        <v>187</v>
      </c>
      <c r="F88" s="9" t="s">
        <v>234</v>
      </c>
      <c r="G88" s="10" t="s">
        <v>382</v>
      </c>
      <c r="H88" s="9"/>
      <c r="I88" s="8" t="s">
        <v>395</v>
      </c>
      <c r="J88" s="9">
        <v>1</v>
      </c>
      <c r="K88" s="9"/>
    </row>
    <row r="89" spans="1:11" ht="15.75" thickBot="1" x14ac:dyDescent="0.3">
      <c r="A89" s="1"/>
      <c r="B89" s="11">
        <f>ROW(B89) - ROW($B$2)</f>
        <v>87</v>
      </c>
      <c r="C89" s="13" t="s">
        <v>14</v>
      </c>
      <c r="D89" s="7" t="s">
        <v>101</v>
      </c>
      <c r="E89" s="8" t="s">
        <v>188</v>
      </c>
      <c r="F89" s="7" t="s">
        <v>235</v>
      </c>
      <c r="G89" s="8" t="s">
        <v>235</v>
      </c>
      <c r="H89" s="7" t="s">
        <v>308</v>
      </c>
      <c r="I89" s="8" t="s">
        <v>395</v>
      </c>
      <c r="J89" s="7">
        <v>1</v>
      </c>
      <c r="K89" s="7"/>
    </row>
    <row r="90" spans="1:11" ht="15.75" thickBot="1" x14ac:dyDescent="0.3">
      <c r="B90" s="11">
        <f>ROW(B90) - ROW($B$2)</f>
        <v>88</v>
      </c>
      <c r="C90" s="13" t="s">
        <v>392</v>
      </c>
      <c r="D90" s="7" t="s">
        <v>396</v>
      </c>
      <c r="E90" s="8" t="s">
        <v>397</v>
      </c>
      <c r="F90" s="7" t="s">
        <v>398</v>
      </c>
      <c r="G90" s="8" t="s">
        <v>399</v>
      </c>
      <c r="H90" s="7" t="s">
        <v>400</v>
      </c>
      <c r="I90" s="8" t="s">
        <v>395</v>
      </c>
      <c r="J90" s="7">
        <v>1</v>
      </c>
      <c r="K90" s="16"/>
    </row>
  </sheetData>
  <mergeCells count="1">
    <mergeCell ref="I1:K1"/>
  </mergeCells>
  <hyperlinks>
    <hyperlink ref="K54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2024-06-13T07:39:15Z</dcterms:modified>
</cp:coreProperties>
</file>