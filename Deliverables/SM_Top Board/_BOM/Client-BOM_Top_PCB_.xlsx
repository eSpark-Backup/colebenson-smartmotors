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/>
  <mc:AlternateContent xmlns:mc="http://schemas.openxmlformats.org/markup-compatibility/2006">
    <mc:Choice Requires="x15">
      <x15ac:absPath xmlns:x15ac="http://schemas.microsoft.com/office/spreadsheetml/2010/11/ac" url="D:\eSpark\ColeBenson-SmartMotors\Deliverables\SM_Top Board\_BOM\"/>
    </mc:Choice>
  </mc:AlternateContent>
  <xr:revisionPtr revIDLastSave="0" documentId="13_ncr:1_{303ECDFE-720C-43F4-9E0C-9825F0280B6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M_Top_PC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57" i="1" l="1"/>
  <c r="P56" i="1"/>
  <c r="P55" i="1"/>
  <c r="P54" i="1"/>
  <c r="R49" i="1"/>
  <c r="P49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3" i="1"/>
  <c r="R44" i="1"/>
  <c r="R45" i="1"/>
  <c r="R46" i="1"/>
  <c r="R47" i="1"/>
  <c r="R48" i="1"/>
  <c r="R50" i="1"/>
  <c r="R51" i="1"/>
  <c r="R52" i="1"/>
  <c r="R53" i="1"/>
  <c r="R54" i="1"/>
  <c r="R55" i="1"/>
  <c r="R56" i="1"/>
  <c r="R27" i="1"/>
  <c r="R21" i="1"/>
  <c r="R20" i="1"/>
  <c r="P20" i="1"/>
  <c r="P11" i="1"/>
  <c r="P10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4" i="1"/>
  <c r="R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8" i="1"/>
  <c r="P17" i="1" l="1"/>
  <c r="M3" i="1"/>
  <c r="R23" i="1"/>
  <c r="R24" i="1"/>
  <c r="R22" i="1"/>
  <c r="R59" i="1" s="1"/>
  <c r="R60" i="1" s="1"/>
  <c r="R25" i="1"/>
  <c r="R26" i="1"/>
  <c r="P42" i="1" l="1"/>
  <c r="P41" i="1" l="1"/>
  <c r="P40" i="1"/>
  <c r="P39" i="1"/>
  <c r="P38" i="1"/>
  <c r="P37" i="1"/>
  <c r="P36" i="1"/>
  <c r="P35" i="1"/>
  <c r="P34" i="1"/>
  <c r="P33" i="1"/>
  <c r="P31" i="1"/>
  <c r="P32" i="1"/>
  <c r="P30" i="1"/>
  <c r="P29" i="1"/>
  <c r="P28" i="1"/>
  <c r="P24" i="1"/>
  <c r="P23" i="1"/>
  <c r="P22" i="1"/>
  <c r="P19" i="1"/>
  <c r="P18" i="1"/>
  <c r="P16" i="1"/>
  <c r="P15" i="1"/>
  <c r="P14" i="1"/>
  <c r="P13" i="1"/>
  <c r="P12" i="1"/>
  <c r="P9" i="1"/>
  <c r="P8" i="1"/>
  <c r="P7" i="1"/>
  <c r="P5" i="1"/>
  <c r="P4" i="1"/>
  <c r="P3" i="1"/>
  <c r="P21" i="1"/>
  <c r="P25" i="1"/>
  <c r="P26" i="1"/>
  <c r="P27" i="1"/>
  <c r="P43" i="1"/>
  <c r="P44" i="1"/>
  <c r="P45" i="1"/>
  <c r="P46" i="1"/>
  <c r="P47" i="1"/>
  <c r="P48" i="1"/>
  <c r="P50" i="1"/>
  <c r="P51" i="1"/>
  <c r="P52" i="1"/>
  <c r="P53" i="1"/>
  <c r="P6" i="1"/>
  <c r="P60" i="1" l="1"/>
</calcChain>
</file>

<file path=xl/sharedStrings.xml><?xml version="1.0" encoding="utf-8"?>
<sst xmlns="http://schemas.openxmlformats.org/spreadsheetml/2006/main" count="543" uniqueCount="339">
  <si>
    <t>Description</t>
  </si>
  <si>
    <t>Designator</t>
  </si>
  <si>
    <t>Manufacturer Part Number</t>
  </si>
  <si>
    <t>220uF</t>
  </si>
  <si>
    <t>VKME1451J221MV</t>
  </si>
  <si>
    <t>0.1uF</t>
  </si>
  <si>
    <t>Cap Ceramic 0.1uF 50VDC X7R 10% SMD 0603 Paper T/R</t>
  </si>
  <si>
    <t>Cap0603</t>
  </si>
  <si>
    <t>CL10B104KB8NNNC</t>
  </si>
  <si>
    <t>1uF</t>
  </si>
  <si>
    <t>CAP CER 1UF 100V X7S 0805</t>
  </si>
  <si>
    <t>C3</t>
  </si>
  <si>
    <t>Cap0805</t>
  </si>
  <si>
    <t>C2012X7S2A105K125AB</t>
  </si>
  <si>
    <t>470uF</t>
  </si>
  <si>
    <t>C4</t>
  </si>
  <si>
    <t>VT1H471MI135000CE0</t>
  </si>
  <si>
    <t>68uF</t>
  </si>
  <si>
    <t>C5</t>
  </si>
  <si>
    <t>VKMC1001H680MV</t>
  </si>
  <si>
    <t>680pF</t>
  </si>
  <si>
    <t>CAP CER 680pF 50 V 0603</t>
  </si>
  <si>
    <t>C6</t>
  </si>
  <si>
    <t>CC0603KRX7R9BB681</t>
  </si>
  <si>
    <t>0.47uF</t>
  </si>
  <si>
    <t>CAP CER 0.47uF 50V X7R 0603</t>
  </si>
  <si>
    <t>Cap 0603</t>
  </si>
  <si>
    <t>UMK107B7474KA-TR</t>
  </si>
  <si>
    <t>2.2uF</t>
  </si>
  <si>
    <t>CAP, 2.2µF, 35V, 10%, X5R, 0603</t>
  </si>
  <si>
    <t>GRM188R6YA225KA12D</t>
  </si>
  <si>
    <t>4.7UF</t>
  </si>
  <si>
    <t>CAP CER 4.7UF 25V X5R 0603</t>
  </si>
  <si>
    <t>C11, C12</t>
  </si>
  <si>
    <t>CL10A475KA8NQNC</t>
  </si>
  <si>
    <t>C15, C20</t>
  </si>
  <si>
    <t>220nF</t>
  </si>
  <si>
    <t>22nF</t>
  </si>
  <si>
    <t>0603 .022uF 100volts X7R 10% T=0.8mm</t>
  </si>
  <si>
    <t>C17</t>
  </si>
  <si>
    <t>CGA3E2X7R2A223K080AA</t>
  </si>
  <si>
    <t>.47uF</t>
  </si>
  <si>
    <t>C30</t>
  </si>
  <si>
    <t>1nF</t>
  </si>
  <si>
    <t>CAP CER 1nF 100V X7R 0603</t>
  </si>
  <si>
    <t>C57, C58, C59, C60</t>
  </si>
  <si>
    <t>Res0603</t>
  </si>
  <si>
    <t>CL10B102KC8NNNC</t>
  </si>
  <si>
    <t>VS-30WQ04FNTR-M3</t>
  </si>
  <si>
    <t>Diode Schottky 40V 3.5A 3-Pin(2+Tab) DPAK T/R</t>
  </si>
  <si>
    <t>D2</t>
  </si>
  <si>
    <t>PMEG3010ER,115</t>
  </si>
  <si>
    <t>DIODE SCHOTTKY 30V 1A SOD123W</t>
  </si>
  <si>
    <t>D4, D5, D6, D7, D8, D9, D10, D11</t>
  </si>
  <si>
    <t>SOD-123W</t>
  </si>
  <si>
    <t>0685H9150-01</t>
  </si>
  <si>
    <t>FUSE BOARD MNT 15A 125VAC 32VDC</t>
  </si>
  <si>
    <t>F1</t>
  </si>
  <si>
    <t>MC-318</t>
  </si>
  <si>
    <t>USB - Type C Female 24 SMD USB Connectors RoHS</t>
  </si>
  <si>
    <t>J1</t>
  </si>
  <si>
    <t>5520425-2</t>
  </si>
  <si>
    <t>Conn RJ-25 F 6 POS 2.54mm Solder ST Thru-Hole 4 Terminal 1 Port Tray Cat 3</t>
  </si>
  <si>
    <t>J2, J5</t>
  </si>
  <si>
    <t>M55-7012042R</t>
  </si>
  <si>
    <t>CONN HEADER SMD 20POS 1.27MM</t>
  </si>
  <si>
    <t>J3</t>
  </si>
  <si>
    <t>B4P-VH-FB-B(LF)(SN)</t>
  </si>
  <si>
    <t>CONN HEADER VERT 4POS 3.96MM</t>
  </si>
  <si>
    <t>J4</t>
  </si>
  <si>
    <t>SPM10054T-680M-HZ</t>
  </si>
  <si>
    <t>FIXED IND 68UH 3.7A 162.87MOHM</t>
  </si>
  <si>
    <t>L1</t>
  </si>
  <si>
    <t>WS2812B-Mini</t>
  </si>
  <si>
    <t>SMD,3.5x3.5mm Light Emitting Diodes (LED) RoHS</t>
  </si>
  <si>
    <t>LED1</t>
  </si>
  <si>
    <t>XZVG68W-2</t>
  </si>
  <si>
    <t>LED GREEN CLEAR CHIP SMD</t>
  </si>
  <si>
    <t>LED2</t>
  </si>
  <si>
    <t>LED 0402</t>
  </si>
  <si>
    <t>PRT-10474</t>
  </si>
  <si>
    <t>XT60 CONNECTORS MALE/FEMALE PAIR</t>
  </si>
  <si>
    <t>P1, P2</t>
  </si>
  <si>
    <t>Test Point ON</t>
  </si>
  <si>
    <t>P3, P4, P5, P6</t>
  </si>
  <si>
    <t>TEST POINT</t>
  </si>
  <si>
    <t>CONN HEADER VERT 2POS 2.54MM</t>
  </si>
  <si>
    <t>P7, P8</t>
  </si>
  <si>
    <t>HDR1X2</t>
  </si>
  <si>
    <t>BSC072N08NS5ATMA1</t>
  </si>
  <si>
    <t>MOSFET N-CH 80V 74A 8TDSON</t>
  </si>
  <si>
    <t>Q2, Q3, Q4, Q5, Q6, Q7, Q8, Q9</t>
  </si>
  <si>
    <t>8-PowerTDFN</t>
  </si>
  <si>
    <t>5.1K</t>
  </si>
  <si>
    <t>RES SMD 5.1K OHM 5% 1/10W 0603</t>
  </si>
  <si>
    <t>R1, R2</t>
  </si>
  <si>
    <t>RC0603JR-075K1L</t>
  </si>
  <si>
    <t>R4</t>
  </si>
  <si>
    <t>1K</t>
  </si>
  <si>
    <t>RES SMD 1K 0.1W 0603  75 V, Thick Film</t>
  </si>
  <si>
    <t>R5</t>
  </si>
  <si>
    <t>RC0603JR-071KL</t>
  </si>
  <si>
    <t>47R</t>
  </si>
  <si>
    <t>RES SMD 47OHM 0.1W 0603</t>
  </si>
  <si>
    <t>R6, R7, R8, R9</t>
  </si>
  <si>
    <t>RC0603FR-0747RL</t>
  </si>
  <si>
    <t>33m</t>
  </si>
  <si>
    <t>R10, R11, R12, R13</t>
  </si>
  <si>
    <t>RES 2512</t>
  </si>
  <si>
    <t>CRH2512FR033E04Z</t>
  </si>
  <si>
    <t>150R</t>
  </si>
  <si>
    <t>RES SMD 150OHM 1/10W 0603</t>
  </si>
  <si>
    <t>R14, R15, R16, R17, R18, R19, R20, R26</t>
  </si>
  <si>
    <t>RC0603FR-07150RL</t>
  </si>
  <si>
    <t>3.01K</t>
  </si>
  <si>
    <t>RES SMD 3.01K OHM 1% 1/10W 0603</t>
  </si>
  <si>
    <t>R21</t>
  </si>
  <si>
    <t>ERJ3EKF3011V</t>
  </si>
  <si>
    <t>11K</t>
  </si>
  <si>
    <t>RES SMD 11K, 1%, 0.1W, 0603</t>
  </si>
  <si>
    <t>R22</t>
  </si>
  <si>
    <t>RC0603FR-0711KL</t>
  </si>
  <si>
    <t>2R2</t>
  </si>
  <si>
    <t>RES SMD 2.2OHM 0603</t>
  </si>
  <si>
    <t>R23</t>
  </si>
  <si>
    <t>ERJ3GEYJ2R2V</t>
  </si>
  <si>
    <t>12.4K</t>
  </si>
  <si>
    <t>RES SMD 12.4K OHM 1% 1/10W 0603</t>
  </si>
  <si>
    <t>R24</t>
  </si>
  <si>
    <t>RC0603FR-0712K4L</t>
  </si>
  <si>
    <t>143R</t>
  </si>
  <si>
    <t>RES SMD 143 OHM 1% 1/10W 0603</t>
  </si>
  <si>
    <t>R25</t>
  </si>
  <si>
    <t>ERJ-3EKF1430V</t>
  </si>
  <si>
    <t>11.8K</t>
  </si>
  <si>
    <t>RES SMD 11.8K OHM 1% 1/10W 0603</t>
  </si>
  <si>
    <t>R27</t>
  </si>
  <si>
    <t>AC0603FR-0711K8L</t>
  </si>
  <si>
    <t>105K</t>
  </si>
  <si>
    <t>RES SMD 105K OHM 1% 1/10W 0603</t>
  </si>
  <si>
    <t>R28</t>
  </si>
  <si>
    <t>RC0603FR-07105KL</t>
  </si>
  <si>
    <t>Solder Bridge</t>
  </si>
  <si>
    <t>Solder Bridge ON</t>
  </si>
  <si>
    <t>Tactile Switch 13mm Actuator</t>
  </si>
  <si>
    <t>Memontary Tactile Push Button Switch 6X6X4.3 / 4.5 / 5/6/7/8/9/10 / 13mm SMD</t>
  </si>
  <si>
    <t>SW1</t>
  </si>
  <si>
    <t>SS-3235D-03-L2</t>
  </si>
  <si>
    <t>SPDT 50mA @ 12VDC 12V On-On SMD Toggle Switches RoHS</t>
  </si>
  <si>
    <t>SW2, SW3</t>
  </si>
  <si>
    <t>SN74LV1T34DBVR</t>
  </si>
  <si>
    <t>IC BUF NON-INVERT 5.5V SOT23-5</t>
  </si>
  <si>
    <t>U1</t>
  </si>
  <si>
    <t>SOT-23-5</t>
  </si>
  <si>
    <t>XL1509-ADJE1</t>
  </si>
  <si>
    <t>40V 2A SOP-8_150mil DC-DC Converters RoHS</t>
  </si>
  <si>
    <t>U2</t>
  </si>
  <si>
    <t>SOP-8</t>
  </si>
  <si>
    <t>U3</t>
  </si>
  <si>
    <t>U4</t>
  </si>
  <si>
    <t>NCP708MU330TAG</t>
  </si>
  <si>
    <t>IC REG LINEAR 3.3V 1A 6UDFN</t>
  </si>
  <si>
    <t>U5</t>
  </si>
  <si>
    <t>6-UDFN (3x3)</t>
  </si>
  <si>
    <t>TMC5160A-TA-T</t>
  </si>
  <si>
    <t>IC MTR DRVR BIPOLAR 8-60V 48TQFP</t>
  </si>
  <si>
    <t>U6</t>
  </si>
  <si>
    <t>48-tqfp-ep (7x7)</t>
  </si>
  <si>
    <t>MAX4236EUT+T</t>
  </si>
  <si>
    <t>IC OPAMP GP 1.7MHZ RRO SOT23-6</t>
  </si>
  <si>
    <t>U7</t>
  </si>
  <si>
    <t>SOT-23-6</t>
  </si>
  <si>
    <t>Bill of Material (BOM) for Cole Benson</t>
  </si>
  <si>
    <t>S. No.</t>
  </si>
  <si>
    <t>Components</t>
  </si>
  <si>
    <t>Footprint (Package)</t>
  </si>
  <si>
    <t>Manufacturer</t>
  </si>
  <si>
    <t>Alternate</t>
  </si>
  <si>
    <t>Value</t>
  </si>
  <si>
    <t>Quantity (Per Board)</t>
  </si>
  <si>
    <t>Unit Cost(1)</t>
  </si>
  <si>
    <t>Total Cost(1)</t>
  </si>
  <si>
    <t>Capacitor</t>
  </si>
  <si>
    <t>Diode</t>
  </si>
  <si>
    <t>Fuse</t>
  </si>
  <si>
    <t>Mosfet</t>
  </si>
  <si>
    <t>Inductor</t>
  </si>
  <si>
    <t>Resistor</t>
  </si>
  <si>
    <t>Switch</t>
  </si>
  <si>
    <t>Ics</t>
  </si>
  <si>
    <t>Connectors</t>
  </si>
  <si>
    <t>Ever Ohms Tech</t>
  </si>
  <si>
    <t>Yageo</t>
  </si>
  <si>
    <t>Aliexpress</t>
  </si>
  <si>
    <t>Texas Instruments</t>
  </si>
  <si>
    <t>ON Semiconductor</t>
  </si>
  <si>
    <t>Maxim Integrated</t>
  </si>
  <si>
    <t>TE Connectivity AMP Connectors</t>
  </si>
  <si>
    <t>Ymin</t>
  </si>
  <si>
    <t>Samsung</t>
  </si>
  <si>
    <t>TDK</t>
  </si>
  <si>
    <t>Changzhou Huawei Elec</t>
  </si>
  <si>
    <t>Taiyo Yuden</t>
  </si>
  <si>
    <t>Murata</t>
  </si>
  <si>
    <t>Kyocera AVX</t>
  </si>
  <si>
    <t>Worldsemi</t>
  </si>
  <si>
    <t>Bel</t>
  </si>
  <si>
    <t>Harwin Inc.</t>
  </si>
  <si>
    <t>JST Sales America Inc.</t>
  </si>
  <si>
    <t>SparkFun Electronics</t>
  </si>
  <si>
    <t>Würth Elektronik</t>
  </si>
  <si>
    <t>CAP CER 220nF 35V 0805</t>
  </si>
  <si>
    <t>C26, C27, C28, C31</t>
  </si>
  <si>
    <t>0805</t>
  </si>
  <si>
    <t>GMK212BJ224KGHT</t>
  </si>
  <si>
    <t>C16, C18, C19, C21</t>
  </si>
  <si>
    <t>LCSC</t>
  </si>
  <si>
    <t>LCSC MOQ</t>
  </si>
  <si>
    <t>LCSC part No</t>
  </si>
  <si>
    <t>C487391</t>
  </si>
  <si>
    <t>C1591</t>
  </si>
  <si>
    <t>C105952</t>
  </si>
  <si>
    <t>C0805X105K101T</t>
  </si>
  <si>
    <t>C191227</t>
  </si>
  <si>
    <t>C487358</t>
  </si>
  <si>
    <t>C107096</t>
  </si>
  <si>
    <t>C92847</t>
  </si>
  <si>
    <t>C86017</t>
  </si>
  <si>
    <t>C69335</t>
  </si>
  <si>
    <t>Cap Ceramic 0.22uF 100V X7R 10% SMD 0805 125°C Embossed T/R</t>
  </si>
  <si>
    <t>08051C224K4T2A</t>
  </si>
  <si>
    <t>C524973</t>
  </si>
  <si>
    <t>C780700</t>
  </si>
  <si>
    <t>NM0805B224K101CEDN</t>
  </si>
  <si>
    <t>Heisener</t>
  </si>
  <si>
    <t>C153291</t>
  </si>
  <si>
    <t>C527089</t>
  </si>
  <si>
    <t>16-213/GHC-YR1S1/3T</t>
  </si>
  <si>
    <t>C74338</t>
  </si>
  <si>
    <t>C404841</t>
  </si>
  <si>
    <t>C194555</t>
  </si>
  <si>
    <t>C14677</t>
  </si>
  <si>
    <t>------------</t>
  </si>
  <si>
    <t>C14676</t>
  </si>
  <si>
    <t>C114623</t>
  </si>
  <si>
    <t>C114608</t>
  </si>
  <si>
    <t>C278616</t>
  </si>
  <si>
    <t>C137801</t>
  </si>
  <si>
    <t>C137798</t>
  </si>
  <si>
    <t>C400649</t>
  </si>
  <si>
    <t>C227561</t>
  </si>
  <si>
    <t>C141685</t>
  </si>
  <si>
    <t>C381097</t>
  </si>
  <si>
    <t>XKB Connectivity</t>
  </si>
  <si>
    <t>C100024</t>
  </si>
  <si>
    <t>XLSEMI</t>
  </si>
  <si>
    <t>C74192</t>
  </si>
  <si>
    <t>SOFNG</t>
  </si>
  <si>
    <t>C183608</t>
  </si>
  <si>
    <t>C305968</t>
  </si>
  <si>
    <t>OnlineComponents</t>
  </si>
  <si>
    <t>Custom</t>
  </si>
  <si>
    <t>220uF ±20% 63V 10mm 14.5mm 1.2A SMD RoHS</t>
  </si>
  <si>
    <t>470uF ±20% 50V 12.5mm 13.5mm SMD RoHS</t>
  </si>
  <si>
    <t>68uF ±20% 50V 6.3mm 10mm 390mA SMD RoHS</t>
  </si>
  <si>
    <t>Quantity 25</t>
  </si>
  <si>
    <t>Link</t>
  </si>
  <si>
    <t>Remarks</t>
  </si>
  <si>
    <t>Unit Cost (25 Boards)</t>
  </si>
  <si>
    <t>Total Cost (25)</t>
  </si>
  <si>
    <t>-------</t>
  </si>
  <si>
    <t>------</t>
  </si>
  <si>
    <t>C376821</t>
  </si>
  <si>
    <t>TCC0603X7R223K101CT</t>
  </si>
  <si>
    <t>---------</t>
  </si>
  <si>
    <t>-----</t>
  </si>
  <si>
    <t>Everlight Elec</t>
  </si>
  <si>
    <t>--------</t>
  </si>
  <si>
    <t xml:space="preserve"> C22</t>
  </si>
  <si>
    <t>C2, C13, CF5, CF6</t>
  </si>
  <si>
    <t>C14, C23, C24, C29</t>
  </si>
  <si>
    <t>CAP ALUM 220UF 20% 50V SMD</t>
  </si>
  <si>
    <t>C1</t>
  </si>
  <si>
    <t>UCD1H221MNL1GS</t>
  </si>
  <si>
    <t>Nichicon</t>
  </si>
  <si>
    <t>CAP CER 0.1UF 100V X7R 0603</t>
  </si>
  <si>
    <t>CC0603KRX7R0BB104</t>
  </si>
  <si>
    <t>CAP TANT 0.33UF 20% 20V 0402</t>
  </si>
  <si>
    <t>C7, C9</t>
  </si>
  <si>
    <t>Tant-Cap-0402</t>
  </si>
  <si>
    <t>TCTU1D334M8R</t>
  </si>
  <si>
    <t>Rohm</t>
  </si>
  <si>
    <t>CAP TANT 0.1UF 10% 35V 1206</t>
  </si>
  <si>
    <t>C8, C10</t>
  </si>
  <si>
    <t>CAP-CASE A</t>
  </si>
  <si>
    <t>TAJA104K035RNJ</t>
  </si>
  <si>
    <t>0.33uF</t>
  </si>
  <si>
    <t>LED</t>
  </si>
  <si>
    <t>Res, 12K, 1%, 0.1W, 0603 Rohs</t>
  </si>
  <si>
    <t>RK73H1JRTTD1202F</t>
  </si>
  <si>
    <t>KOA Speer</t>
  </si>
  <si>
    <t>0.033Ω ±1% 2W ±1800ppm/°C 2512 Low Resistors &amp; Current Sense Resistors - Surface Mount RoHS</t>
  </si>
  <si>
    <t>Panasonic</t>
  </si>
  <si>
    <t>RES SMD 10K Ohm 1% 1/10W 0603</t>
  </si>
  <si>
    <t>RF1, RF2, RF3, RF4</t>
  </si>
  <si>
    <t>RC0603FR-0710KL</t>
  </si>
  <si>
    <t>12K</t>
  </si>
  <si>
    <t>10K</t>
  </si>
  <si>
    <t>Linear Voltage Regulator, 1 A, 5 to 24 V, Positive Vout: 12.0 V; TJ = -40°C to +125°C</t>
  </si>
  <si>
    <t>DPAK</t>
  </si>
  <si>
    <t>MC7812BDTRKG</t>
  </si>
  <si>
    <t>MC7805BDTRKG</t>
  </si>
  <si>
    <t>IC REG LINEAR 5V 1A DPAK</t>
  </si>
  <si>
    <t>61300211121</t>
  </si>
  <si>
    <t>C116211</t>
  </si>
  <si>
    <t>C209647</t>
  </si>
  <si>
    <t>C113803</t>
  </si>
  <si>
    <t xml:space="preserve">AVX </t>
  </si>
  <si>
    <t>C7173</t>
  </si>
  <si>
    <t>100nF</t>
  </si>
  <si>
    <t>Vishay</t>
  </si>
  <si>
    <t>----</t>
  </si>
  <si>
    <t>Nexperia</t>
  </si>
  <si>
    <t xml:space="preserve">TDK </t>
  </si>
  <si>
    <t xml:space="preserve">Infineon </t>
  </si>
  <si>
    <t>C830301</t>
  </si>
  <si>
    <t>C98220</t>
  </si>
  <si>
    <t>C126398</t>
  </si>
  <si>
    <t xml:space="preserve">onsemi </t>
  </si>
  <si>
    <t>C110908</t>
  </si>
  <si>
    <t>TRINAMIC Motion</t>
  </si>
  <si>
    <t>SB1, SB2, SB3, SB4, SB5</t>
  </si>
  <si>
    <t xml:space="preserve">DO NOT MOUNT </t>
  </si>
  <si>
    <t>---</t>
  </si>
  <si>
    <t>Alibaba</t>
  </si>
  <si>
    <t>C966185</t>
  </si>
  <si>
    <t xml:space="preserve">Total Component Cost </t>
  </si>
  <si>
    <t>Single Board Cost</t>
  </si>
  <si>
    <t>Custom 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</si>
</sst>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&quot;$&quot;#,##0.00"/>
    <numFmt numFmtId="165" formatCode="&quot;$&quot;#,##0.000"/>
  </numFmts>
  <fonts count="11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quotePrefix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44" fontId="4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1" xfId="1" applyBorder="1" applyAlignment="1">
      <alignment horizontal="center" vertical="center" wrapText="1"/>
    </xf>
    <xf numFmtId="0" fontId="6" fillId="4" borderId="1" xfId="0" quotePrefix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 wrapText="1"/>
    </xf>
    <xf numFmtId="0" fontId="7" fillId="0" borderId="7" xfId="0" quotePrefix="1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3" fillId="0" borderId="7" xfId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 wrapText="1"/>
    </xf>
    <xf numFmtId="44" fontId="4" fillId="0" borderId="7" xfId="0" applyNumberFormat="1" applyFont="1" applyBorder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 wrapText="1"/>
    </xf>
    <xf numFmtId="0" fontId="5" fillId="5" borderId="1" xfId="0" quotePrefix="1" applyFont="1" applyFill="1" applyBorder="1" applyAlignment="1">
      <alignment horizontal="center" vertical="center" wrapText="1"/>
    </xf>
    <xf numFmtId="0" fontId="7" fillId="3" borderId="1" xfId="0" quotePrefix="1" applyFont="1" applyFill="1" applyBorder="1" applyAlignment="1">
      <alignment horizontal="center" vertical="center" wrapText="1"/>
    </xf>
    <xf numFmtId="0" fontId="7" fillId="5" borderId="1" xfId="0" quotePrefix="1" applyFont="1" applyFill="1" applyBorder="1" applyAlignment="1">
      <alignment horizontal="center" vertical="center" wrapText="1"/>
    </xf>
    <xf numFmtId="0" fontId="5" fillId="0" borderId="17" xfId="0" quotePrefix="1" applyFont="1" applyBorder="1" applyAlignment="1">
      <alignment horizontal="center" vertical="center" wrapText="1"/>
    </xf>
    <xf numFmtId="0" fontId="5" fillId="0" borderId="20" xfId="0" quotePrefix="1" applyFont="1" applyBorder="1" applyAlignment="1">
      <alignment horizontal="center" vertical="center" wrapText="1"/>
    </xf>
    <xf numFmtId="0" fontId="7" fillId="5" borderId="7" xfId="0" quotePrefix="1" applyFont="1" applyFill="1" applyBorder="1" applyAlignment="1">
      <alignment horizontal="center" vertical="center" wrapText="1"/>
    </xf>
    <xf numFmtId="0" fontId="5" fillId="0" borderId="5" xfId="0" quotePrefix="1" applyFont="1" applyBorder="1" applyAlignment="1">
      <alignment horizontal="center" vertical="center" wrapText="1"/>
    </xf>
    <xf numFmtId="0" fontId="7" fillId="3" borderId="5" xfId="0" quotePrefix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3" fillId="0" borderId="5" xfId="1" applyBorder="1" applyAlignment="1">
      <alignment horizontal="center" vertical="center" wrapText="1"/>
    </xf>
    <xf numFmtId="164" fontId="4" fillId="0" borderId="5" xfId="0" applyNumberFormat="1" applyFont="1" applyBorder="1" applyAlignment="1">
      <alignment horizontal="center" vertical="center" wrapText="1"/>
    </xf>
    <xf numFmtId="44" fontId="4" fillId="0" borderId="5" xfId="0" applyNumberFormat="1" applyFont="1" applyBorder="1" applyAlignment="1">
      <alignment horizontal="center" vertical="center" wrapText="1"/>
    </xf>
    <xf numFmtId="44" fontId="4" fillId="0" borderId="6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7" fillId="3" borderId="7" xfId="0" quotePrefix="1" applyFont="1" applyFill="1" applyBorder="1" applyAlignment="1">
      <alignment horizontal="center" vertical="center" wrapText="1"/>
    </xf>
    <xf numFmtId="0" fontId="7" fillId="5" borderId="17" xfId="0" quotePrefix="1" applyFont="1" applyFill="1" applyBorder="1" applyAlignment="1">
      <alignment horizontal="center" vertical="center" wrapText="1"/>
    </xf>
    <xf numFmtId="0" fontId="7" fillId="0" borderId="17" xfId="0" quotePrefix="1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3" fillId="0" borderId="17" xfId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/>
    </xf>
    <xf numFmtId="44" fontId="4" fillId="0" borderId="17" xfId="0" applyNumberFormat="1" applyFont="1" applyBorder="1" applyAlignment="1">
      <alignment horizontal="center" vertical="center" wrapText="1"/>
    </xf>
    <xf numFmtId="0" fontId="7" fillId="5" borderId="20" xfId="0" quotePrefix="1" applyFont="1" applyFill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3" fillId="0" borderId="20" xfId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/>
    </xf>
    <xf numFmtId="44" fontId="4" fillId="0" borderId="20" xfId="0" applyNumberFormat="1" applyFont="1" applyBorder="1" applyAlignment="1">
      <alignment horizontal="center" vertical="center" wrapText="1"/>
    </xf>
    <xf numFmtId="0" fontId="4" fillId="3" borderId="21" xfId="0" applyFont="1" applyFill="1" applyBorder="1" applyAlignment="1">
      <alignment horizontal="center" vertical="center" wrapText="1"/>
    </xf>
    <xf numFmtId="164" fontId="4" fillId="0" borderId="7" xfId="0" applyNumberFormat="1" applyFont="1" applyBorder="1" applyAlignment="1">
      <alignment horizontal="center" vertical="center"/>
    </xf>
    <xf numFmtId="0" fontId="5" fillId="5" borderId="17" xfId="0" quotePrefix="1" applyFont="1" applyFill="1" applyBorder="1" applyAlignment="1">
      <alignment horizontal="center" vertical="center" wrapText="1"/>
    </xf>
    <xf numFmtId="0" fontId="7" fillId="3" borderId="17" xfId="0" quotePrefix="1" applyFont="1" applyFill="1" applyBorder="1" applyAlignment="1">
      <alignment horizontal="center" vertical="center" wrapText="1"/>
    </xf>
    <xf numFmtId="164" fontId="4" fillId="0" borderId="17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3" fillId="0" borderId="1" xfId="1" applyBorder="1" applyAlignment="1">
      <alignment horizontal="center" vertical="center"/>
    </xf>
    <xf numFmtId="44" fontId="4" fillId="0" borderId="1" xfId="0" applyNumberFormat="1" applyFont="1" applyBorder="1" applyAlignment="1">
      <alignment horizontal="center" vertical="center"/>
    </xf>
    <xf numFmtId="0" fontId="0" fillId="0" borderId="0" xfId="0" applyAlignment="1"/>
    <xf numFmtId="0" fontId="6" fillId="0" borderId="1" xfId="0" quotePrefix="1" applyFont="1" applyBorder="1" applyAlignment="1">
      <alignment horizontal="center" vertical="center" wrapText="1"/>
    </xf>
    <xf numFmtId="0" fontId="6" fillId="0" borderId="20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center" vertical="center" wrapText="1"/>
    </xf>
    <xf numFmtId="44" fontId="6" fillId="4" borderId="1" xfId="0" quotePrefix="1" applyNumberFormat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3" borderId="19" xfId="0" applyFont="1" applyFill="1" applyBorder="1" applyAlignment="1">
      <alignment horizontal="center" vertical="center" wrapText="1"/>
    </xf>
    <xf numFmtId="0" fontId="4" fillId="0" borderId="22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/>
    </xf>
    <xf numFmtId="0" fontId="6" fillId="4" borderId="19" xfId="0" applyFont="1" applyFill="1" applyBorder="1" applyAlignment="1">
      <alignment horizontal="center" vertical="center" wrapText="1"/>
    </xf>
    <xf numFmtId="0" fontId="6" fillId="4" borderId="20" xfId="0" quotePrefix="1" applyFont="1" applyFill="1" applyBorder="1" applyAlignment="1">
      <alignment horizontal="center" vertical="center" wrapText="1"/>
    </xf>
    <xf numFmtId="44" fontId="6" fillId="4" borderId="20" xfId="0" quotePrefix="1" applyNumberFormat="1" applyFont="1" applyFill="1" applyBorder="1" applyAlignment="1">
      <alignment horizontal="center" vertical="center" wrapText="1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7" fillId="3" borderId="20" xfId="0" quotePrefix="1" applyFont="1" applyFill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64" fontId="4" fillId="0" borderId="20" xfId="0" applyNumberFormat="1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164" fontId="9" fillId="2" borderId="10" xfId="0" applyNumberFormat="1" applyFont="1" applyFill="1" applyBorder="1" applyAlignment="1">
      <alignment horizontal="center" vertical="center" wrapText="1"/>
    </xf>
    <xf numFmtId="0" fontId="5" fillId="0" borderId="25" xfId="0" quotePrefix="1" applyFont="1" applyBorder="1" applyAlignment="1">
      <alignment horizontal="left" vertical="center" wrapText="1"/>
    </xf>
    <xf numFmtId="0" fontId="5" fillId="0" borderId="16" xfId="0" quotePrefix="1" applyFont="1" applyBorder="1" applyAlignment="1">
      <alignment horizontal="left" vertical="center" wrapText="1"/>
    </xf>
    <xf numFmtId="0" fontId="5" fillId="0" borderId="16" xfId="0" quotePrefix="1" applyFont="1" applyBorder="1" applyAlignment="1">
      <alignment horizontal="left" vertical="center"/>
    </xf>
    <xf numFmtId="0" fontId="5" fillId="0" borderId="26" xfId="0" quotePrefix="1" applyFont="1" applyBorder="1" applyAlignment="1">
      <alignment horizontal="left" vertical="center" wrapText="1"/>
    </xf>
    <xf numFmtId="0" fontId="5" fillId="0" borderId="15" xfId="0" quotePrefix="1" applyFont="1" applyBorder="1" applyAlignment="1">
      <alignment horizontal="left" vertical="center" wrapText="1"/>
    </xf>
    <xf numFmtId="0" fontId="6" fillId="4" borderId="16" xfId="0" quotePrefix="1" applyFont="1" applyFill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0" fillId="0" borderId="19" xfId="0" applyBorder="1"/>
    <xf numFmtId="0" fontId="6" fillId="4" borderId="26" xfId="0" quotePrefix="1" applyFont="1" applyFill="1" applyBorder="1" applyAlignment="1">
      <alignment horizontal="left" vertical="center" wrapText="1"/>
    </xf>
    <xf numFmtId="0" fontId="5" fillId="0" borderId="8" xfId="0" quotePrefix="1" applyFont="1" applyBorder="1" applyAlignment="1">
      <alignment horizontal="left" vertical="center" wrapText="1"/>
    </xf>
    <xf numFmtId="164" fontId="4" fillId="0" borderId="5" xfId="0" applyNumberFormat="1" applyFont="1" applyBorder="1" applyAlignment="1">
      <alignment horizontal="center" vertical="center"/>
    </xf>
    <xf numFmtId="0" fontId="7" fillId="0" borderId="8" xfId="0" quotePrefix="1" applyFont="1" applyBorder="1" applyAlignment="1">
      <alignment horizontal="left" vertical="center" wrapText="1"/>
    </xf>
    <xf numFmtId="0" fontId="7" fillId="0" borderId="5" xfId="0" quotePrefix="1" applyFont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5" fillId="0" borderId="20" xfId="0" applyFont="1" applyFill="1" applyBorder="1" applyAlignment="1">
      <alignment horizontal="center" vertical="center" wrapText="1"/>
    </xf>
    <xf numFmtId="0" fontId="5" fillId="0" borderId="9" xfId="0" quotePrefix="1" applyFont="1" applyBorder="1" applyAlignment="1">
      <alignment horizontal="left" vertical="center" wrapText="1"/>
    </xf>
    <xf numFmtId="0" fontId="5" fillId="0" borderId="6" xfId="0" quotePrefix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3" fillId="0" borderId="6" xfId="1" applyBorder="1" applyAlignment="1">
      <alignment horizontal="center" vertical="center" wrapText="1"/>
    </xf>
    <xf numFmtId="164" fontId="4" fillId="0" borderId="6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 wrapText="1"/>
    </xf>
    <xf numFmtId="0" fontId="5" fillId="0" borderId="14" xfId="0" quotePrefix="1" applyFont="1" applyBorder="1" applyAlignment="1">
      <alignment horizontal="left" vertical="center" wrapText="1"/>
    </xf>
    <xf numFmtId="0" fontId="5" fillId="0" borderId="11" xfId="0" quotePrefix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3" fillId="0" borderId="11" xfId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/>
    </xf>
    <xf numFmtId="44" fontId="4" fillId="0" borderId="11" xfId="0" applyNumberFormat="1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7" xfId="0" quotePrefix="1" applyFont="1" applyBorder="1" applyAlignment="1">
      <alignment horizontal="center" vertical="center" wrapText="1"/>
    </xf>
    <xf numFmtId="0" fontId="0" fillId="0" borderId="18" xfId="0" applyBorder="1"/>
    <xf numFmtId="0" fontId="4" fillId="0" borderId="20" xfId="0" quotePrefix="1" applyFont="1" applyBorder="1" applyAlignment="1">
      <alignment horizontal="center" vertical="center" wrapText="1"/>
    </xf>
    <xf numFmtId="165" fontId="0" fillId="0" borderId="0" xfId="0" applyNumberFormat="1"/>
    <xf numFmtId="165" fontId="0" fillId="0" borderId="0" xfId="0" applyNumberFormat="1" applyFont="1" applyAlignment="1">
      <alignment horizontal="center" vertical="center"/>
    </xf>
    <xf numFmtId="164" fontId="0" fillId="0" borderId="0" xfId="0" applyNumberFormat="1"/>
    <xf numFmtId="0" fontId="9" fillId="2" borderId="13" xfId="0" applyFont="1" applyFill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7" fillId="5" borderId="1" xfId="0" quotePrefix="1" applyFont="1" applyFill="1" applyBorder="1" applyAlignment="1">
      <alignment horizontal="center" vertical="center"/>
    </xf>
    <xf numFmtId="0" fontId="7" fillId="5" borderId="5" xfId="0" quotePrefix="1" applyFont="1" applyFill="1" applyBorder="1" applyAlignment="1">
      <alignment horizontal="center" vertical="center" wrapText="1"/>
    </xf>
    <xf numFmtId="0" fontId="7" fillId="5" borderId="6" xfId="0" quotePrefix="1" applyFont="1" applyFill="1" applyBorder="1" applyAlignment="1">
      <alignment horizontal="center" vertical="center" wrapText="1"/>
    </xf>
    <xf numFmtId="0" fontId="7" fillId="5" borderId="11" xfId="0" quotePrefix="1" applyFont="1" applyFill="1" applyBorder="1" applyAlignment="1">
      <alignment horizontal="center" vertical="center" wrapText="1"/>
    </xf>
    <xf numFmtId="0" fontId="10" fillId="5" borderId="30" xfId="0" applyFont="1" applyFill="1" applyBorder="1" applyAlignment="1">
      <alignment horizontal="center" wrapText="1"/>
    </xf>
    <xf numFmtId="0" fontId="10" fillId="5" borderId="0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lcsc.com/product-detail/Multilayer-Ceramic-Capacitors-MLCC-SMD-SMT_Samsung-Electro-Mechanics-CL10B102KC8NNNC_C153291.html" TargetMode="External"/><Relationship Id="rId18" Type="http://schemas.openxmlformats.org/officeDocument/2006/relationships/hyperlink" Target="https://www.heisener.com/ProductDetail/0685H9150-01" TargetMode="External"/><Relationship Id="rId26" Type="http://schemas.openxmlformats.org/officeDocument/2006/relationships/hyperlink" Target="https://www.aliexpress.com/item/1005002822040394.html?spm=a2g0o.productlist.0.0.17061bdbRO5TB0&amp;algo_pvid=5f7d0c72-32eb-44e1-8fc5-0a9aff626b42&amp;algo_exp_id=5f7d0c72-32eb-44e1-8fc5-0a9aff626b42-1" TargetMode="External"/><Relationship Id="rId39" Type="http://schemas.openxmlformats.org/officeDocument/2006/relationships/hyperlink" Target="https://lcsc.com/product-detail/Chip-Resistor-Surface-Mount_YAGEO-RC0603FR-07150RL_C114608.html" TargetMode="External"/><Relationship Id="rId21" Type="http://schemas.openxmlformats.org/officeDocument/2006/relationships/hyperlink" Target="https://lcsc.com/product-detail/Logic-Buffers-Drivers-Receivers-Transceivers_Texas-Instruments-SN74LV1T34DBVR_C100024.html" TargetMode="External"/><Relationship Id="rId34" Type="http://schemas.openxmlformats.org/officeDocument/2006/relationships/hyperlink" Target="https://www.heisener.com/ProductDetail/BSC072N08NS5ATMA1" TargetMode="External"/><Relationship Id="rId42" Type="http://schemas.openxmlformats.org/officeDocument/2006/relationships/hyperlink" Target="https://lcsc.com/product-detail/Chip-Resistor-Surface-Mount_YAGEO-RC0603FR-0712K4L_C137798.html" TargetMode="External"/><Relationship Id="rId47" Type="http://schemas.openxmlformats.org/officeDocument/2006/relationships/hyperlink" Target="https://lcsc.com/product-detail/Linear-Voltage-Regulators-LDO_onsemi-MC7805BDTRKG_C110908.html" TargetMode="External"/><Relationship Id="rId50" Type="http://schemas.openxmlformats.org/officeDocument/2006/relationships/hyperlink" Target="https://pl.aliexpress.com/item/4000133802690.html?spm=a2g0o.productlist.0.0.7aae3857XQ880d&amp;algo_pvid=e1ff1e25-306c-439d-99c1-57515af0e1ad&amp;algo_exp_id=e1ff1e25-306c-439d-99c1-57515af0e1ad-10" TargetMode="External"/><Relationship Id="rId7" Type="http://schemas.openxmlformats.org/officeDocument/2006/relationships/hyperlink" Target="https://lcsc.com/product-detail/Multilayer-Ceramic-Capacitors-MLCC-SMD-SMT_Taiyo-Yuden-UMK107B7474KA-TR_C92847.html" TargetMode="External"/><Relationship Id="rId2" Type="http://schemas.openxmlformats.org/officeDocument/2006/relationships/hyperlink" Target="https://lcsc.com/product-detail/Multilayer-Ceramic-Capacitors-MLCC-SMD-SMT_Samsung-Electro-Mechanics-CL10B104KB8NNNC_C1591.html" TargetMode="External"/><Relationship Id="rId16" Type="http://schemas.openxmlformats.org/officeDocument/2006/relationships/hyperlink" Target="https://lcsc.com/product-detail/Light-Emitting-Diodes-LED_Worldsemi-WS2812B-Mini_C527089.html" TargetMode="External"/><Relationship Id="rId29" Type="http://schemas.openxmlformats.org/officeDocument/2006/relationships/hyperlink" Target="https://lcsc.com/product-detail/Multilayer-Ceramic-Capacitors-MLCC-SMD-SMT_CCTC-TCC0603X7R223K101CT_C376821.html" TargetMode="External"/><Relationship Id="rId11" Type="http://schemas.openxmlformats.org/officeDocument/2006/relationships/hyperlink" Target="https://lcsc.com/product-detail/Multilayer-Ceramic-Capacitors-MLCC-SMD-SMT_Taiyo-Yuden-GMK212BJ224KGHT_C524973.html" TargetMode="External"/><Relationship Id="rId24" Type="http://schemas.openxmlformats.org/officeDocument/2006/relationships/hyperlink" Target="https://lcsc.com/product-detail/USB-Connectors_SOFNG-MC-318_C183608.html" TargetMode="External"/><Relationship Id="rId32" Type="http://schemas.openxmlformats.org/officeDocument/2006/relationships/hyperlink" Target="https://lcsc.com/product-detail/Multilayer-Ceramic-Capacitors-MLCC-SMD-SMT_YAGEO-CC0603KRX7R0BB104_C113803.html" TargetMode="External"/><Relationship Id="rId37" Type="http://schemas.openxmlformats.org/officeDocument/2006/relationships/hyperlink" Target="https://lcsc.com/product-detail/Chip-Resistor-Surface-Mount_YAGEO-RC0603JR-071KL_C14676.html" TargetMode="External"/><Relationship Id="rId40" Type="http://schemas.openxmlformats.org/officeDocument/2006/relationships/hyperlink" Target="https://lcsc.com/product-detail/Chip-Resistor-Surface-Mount_PANASONIC-ERJ3EKF3011V_C278616.html" TargetMode="External"/><Relationship Id="rId45" Type="http://schemas.openxmlformats.org/officeDocument/2006/relationships/hyperlink" Target="https://lcsc.com/product-detail/Chip-Resistor-Surface-Mount_YAGEO-RC0603FR-0710KL_C98220.html" TargetMode="External"/><Relationship Id="rId53" Type="http://schemas.openxmlformats.org/officeDocument/2006/relationships/hyperlink" Target="https://lcsc.com/product-detail/Chip-span-style-background-color-ff0-Resistor-span-Surface-Mount_PANASONIC-ERJ3EKF1430V_C400649.html" TargetMode="External"/><Relationship Id="rId5" Type="http://schemas.openxmlformats.org/officeDocument/2006/relationships/hyperlink" Target="https://lcsc.com/product-detail/New-Arrivals_Ymin-VKMC1001H680MV_C487358.html" TargetMode="External"/><Relationship Id="rId10" Type="http://schemas.openxmlformats.org/officeDocument/2006/relationships/hyperlink" Target="https://lcsc.com/product-detail/Multilayer-Ceramic-Capacitors-MLCC-SMD-SMT_HUI-JU-NM0805B224K101CEDN_C780700.html" TargetMode="External"/><Relationship Id="rId19" Type="http://schemas.openxmlformats.org/officeDocument/2006/relationships/hyperlink" Target="https://lcsc.com/product-detail/Power-Inductors_TDK-SPM10054T-680M-HZ_C404841.html" TargetMode="External"/><Relationship Id="rId31" Type="http://schemas.openxmlformats.org/officeDocument/2006/relationships/hyperlink" Target="https://lcsc.com/product-detail/Tantalum-Capacitors_ROHM-Semicon-TCTU1D334M8R_C209647.html" TargetMode="External"/><Relationship Id="rId44" Type="http://schemas.openxmlformats.org/officeDocument/2006/relationships/hyperlink" Target="https://lcsc.com/product-detail/Chip-Resistor-Surface-Mount_YAGEO-RC0603FR-07105KL_C141685.html" TargetMode="External"/><Relationship Id="rId52" Type="http://schemas.openxmlformats.org/officeDocument/2006/relationships/hyperlink" Target="https://lcsc.com/product-detail/Chip-span-style-background-color-ff0-Resistor-span-Surface-Mount_UNI-ROYAL-Uniroyal-Elec-AS03W4J022JT5E_C966185.html" TargetMode="External"/><Relationship Id="rId4" Type="http://schemas.openxmlformats.org/officeDocument/2006/relationships/hyperlink" Target="https://lcsc.com/product-detail/Aluminum-Electrolytic-Capacitors-SMD_Changzhou-Huawei-Elec-VT1H471MI135000CE0_C191227.html" TargetMode="External"/><Relationship Id="rId9" Type="http://schemas.openxmlformats.org/officeDocument/2006/relationships/hyperlink" Target="https://lcsc.com/product-detail/Multilayer-Ceramic-Capacitors-MLCC-SMD-SMT_Samsung-Electro-Mechanics-CL10A475KA8NQNC_C69335.html" TargetMode="External"/><Relationship Id="rId14" Type="http://schemas.openxmlformats.org/officeDocument/2006/relationships/hyperlink" Target="https://www.heisener.com/ProductDetail/VS-30WQ04FNTR-M3" TargetMode="External"/><Relationship Id="rId22" Type="http://schemas.openxmlformats.org/officeDocument/2006/relationships/hyperlink" Target="https://lcsc.com/product-detail/DC-DC-Converters_XLSEMI-XL1509-ADJE1_C74192.html" TargetMode="External"/><Relationship Id="rId27" Type="http://schemas.openxmlformats.org/officeDocument/2006/relationships/hyperlink" Target="https://www.aliexpress.com/item/1005001704151316.html?spm=a2g0o.productlist.0.0.76721089q7c38i&amp;algo_pvid=074256b0-7137-4146-bd0f-e2cc6c30b624&amp;algo_exp_id=074256b0-7137-4146-bd0f-e2cc6c30b624-1" TargetMode="External"/><Relationship Id="rId30" Type="http://schemas.openxmlformats.org/officeDocument/2006/relationships/hyperlink" Target="https://lcsc.com/product-detail/Aluminum-Electrolytic-Capacitors-SMD_Nichicon-UCD1H221MNL1GS_C116211.html" TargetMode="External"/><Relationship Id="rId35" Type="http://schemas.openxmlformats.org/officeDocument/2006/relationships/hyperlink" Target="https://lcsc.com/product-detail/Chip-Resistor-Surface-Mount_YAGEO-RC0603JR-075K1L_C14677.html" TargetMode="External"/><Relationship Id="rId43" Type="http://schemas.openxmlformats.org/officeDocument/2006/relationships/hyperlink" Target="https://lcsc.com/product-detail/Chip-Resistor-Surface-Mount_YAGEO-AC0603FR-0711K8L_C227561.html" TargetMode="External"/><Relationship Id="rId48" Type="http://schemas.openxmlformats.org/officeDocument/2006/relationships/hyperlink" Target="https://www.heisener.com/ProductDetail/NCP708MU330TAG" TargetMode="External"/><Relationship Id="rId8" Type="http://schemas.openxmlformats.org/officeDocument/2006/relationships/hyperlink" Target="https://lcsc.com/product-detail/Multilayer-Ceramic-Capacitors-MLCC-SMD-SMT_Murata-Electronics-GRM188R6YA225KA12D_C86017.html" TargetMode="External"/><Relationship Id="rId51" Type="http://schemas.openxmlformats.org/officeDocument/2006/relationships/hyperlink" Target="https://www.alibaba.com/product-detail/-Chip-Ultra-low-Resistor-CRH2512FR033E04Z_1600258026570.html?spm=a2700.galleryofferlist.normal_offer.d_title.524222555i09rI" TargetMode="External"/><Relationship Id="rId3" Type="http://schemas.openxmlformats.org/officeDocument/2006/relationships/hyperlink" Target="https://lcsc.com/product-detail/Multilayer-Ceramic-Capacitors-MLCC-SMD-SMT_IHHEC-HOLY-STONE-ENTERPRISE-CO-LTD-C0805X105K101T_C105952.html" TargetMode="External"/><Relationship Id="rId12" Type="http://schemas.openxmlformats.org/officeDocument/2006/relationships/hyperlink" Target="https://lcsc.com/product-detail/Multilayer-Ceramic-Capacitors-MLCC-SMD-SMT_Taiyo-Yuden-UMK107B7474KA-TR_C92847.html" TargetMode="External"/><Relationship Id="rId17" Type="http://schemas.openxmlformats.org/officeDocument/2006/relationships/hyperlink" Target="https://lcsc.com/product-detail/Light-Emitting-Diodes-LED_Everlight-Elec-16-213-GHC-YR1S1-3T_C74338.html" TargetMode="External"/><Relationship Id="rId25" Type="http://schemas.openxmlformats.org/officeDocument/2006/relationships/hyperlink" Target="https://www.onlinecomponents.com/en/sparkfun-electronics/prt10474-55170162.html?utm_source=digipart&amp;utm_medium=referral&amp;ref=digipartFeed&amp;utm_term=PRT-10474" TargetMode="External"/><Relationship Id="rId33" Type="http://schemas.openxmlformats.org/officeDocument/2006/relationships/hyperlink" Target="https://lcsc.com/product-detail/Tantalum-Capacitors_AVX-TAJA104K035RNJ_C7173.html" TargetMode="External"/><Relationship Id="rId38" Type="http://schemas.openxmlformats.org/officeDocument/2006/relationships/hyperlink" Target="https://lcsc.com/product-detail/Chip-Resistor-Surface-Mount_YAGEO-RC0603FR-0747RL_C114623.html" TargetMode="External"/><Relationship Id="rId46" Type="http://schemas.openxmlformats.org/officeDocument/2006/relationships/hyperlink" Target="https://lcsc.com/product-detail/Linear-Voltage-Regulators-LDO_onsemi-MC7812BDTRKG_C126398.html" TargetMode="External"/><Relationship Id="rId20" Type="http://schemas.openxmlformats.org/officeDocument/2006/relationships/hyperlink" Target="https://lcsc.com/product-detail/Slide-Switches_XKB-Connectivity-SS-3235D-03-L2_C381097.html" TargetMode="External"/><Relationship Id="rId41" Type="http://schemas.openxmlformats.org/officeDocument/2006/relationships/hyperlink" Target="https://lcsc.com/product-detail/Chip-Resistor-Surface-Mount_YAGEO-RC0603FR-0711KL_C137801.html" TargetMode="External"/><Relationship Id="rId54" Type="http://schemas.openxmlformats.org/officeDocument/2006/relationships/printerSettings" Target="../printerSettings/printerSettings1.bin"/><Relationship Id="rId1" Type="http://schemas.openxmlformats.org/officeDocument/2006/relationships/hyperlink" Target="https://lcsc.com/product-detail/Aluminum-Electrolytic-Capacitors-SMD_Ymin-VKME1451J221MV_C487391.html" TargetMode="External"/><Relationship Id="rId6" Type="http://schemas.openxmlformats.org/officeDocument/2006/relationships/hyperlink" Target="https://lcsc.com/product-detail/Multilayer-Ceramic-Capacitors-MLCC-SMD-SMT_YAGEO-CC0603KRX7R9BB681_C107096.html" TargetMode="External"/><Relationship Id="rId15" Type="http://schemas.openxmlformats.org/officeDocument/2006/relationships/hyperlink" Target="https://www.heisener.com/ProductDetail/PMEG3010ER-115" TargetMode="External"/><Relationship Id="rId23" Type="http://schemas.openxmlformats.org/officeDocument/2006/relationships/hyperlink" Target="https://www.heisener.com/ProductDetail/MAX4236EUT-T_1A3" TargetMode="External"/><Relationship Id="rId28" Type="http://schemas.openxmlformats.org/officeDocument/2006/relationships/hyperlink" Target="https://www.aliexpress.com/item/1005002824489337.html?spm=a2g0o.search0304.0.0.6a786872zrYtzx&amp;aem_p4p_detail=20210709080314396911621568870006263664" TargetMode="External"/><Relationship Id="rId36" Type="http://schemas.openxmlformats.org/officeDocument/2006/relationships/hyperlink" Target="https://lcsc.com/product-detail/Chip-Resistor-Surface-Mount_KOA-Speer-Elec-RK73H1JRTTD1202F_C830301.html" TargetMode="External"/><Relationship Id="rId49" Type="http://schemas.openxmlformats.org/officeDocument/2006/relationships/hyperlink" Target="https://www.heisener.com/ProductDetail/5520425-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I22" zoomScaleNormal="100" workbookViewId="0">
      <selection activeCell="Q54" sqref="Q54"/>
    </sheetView>
  </sheetViews>
  <sheetFormatPr defaultRowHeight="15" x14ac:dyDescent="0.25"/>
  <cols>
    <col min="1" max="1" width="6.140625" bestFit="1" customWidth="1"/>
    <col min="2" max="2" width="12.28515625" bestFit="1" customWidth="1"/>
    <col min="3" max="3" width="61.140625" customWidth="1"/>
    <col min="4" max="4" width="31.7109375" bestFit="1" customWidth="1"/>
    <col min="5" max="5" width="18.5703125" bestFit="1" customWidth="1"/>
    <col min="6" max="6" width="25.28515625" bestFit="1" customWidth="1"/>
    <col min="7" max="7" width="26.7109375" bestFit="1" customWidth="1"/>
    <col min="8" max="8" width="12.140625" bestFit="1" customWidth="1"/>
    <col min="9" max="9" width="20.140625" bestFit="1" customWidth="1"/>
    <col min="10" max="10" width="8.28515625" bestFit="1" customWidth="1"/>
    <col min="11" max="11" width="10.28515625" bestFit="1" customWidth="1"/>
    <col min="12" max="12" width="19.42578125" bestFit="1" customWidth="1"/>
    <col min="13" max="13" width="11.140625" bestFit="1" customWidth="1"/>
    <col min="14" max="14" width="18.5703125" bestFit="1" customWidth="1"/>
    <col min="15" max="15" width="11.5703125" bestFit="1" customWidth="1"/>
    <col min="16" max="16" width="12.140625" bestFit="1" customWidth="1"/>
    <col min="17" max="17" width="12.28515625" bestFit="1" customWidth="1"/>
    <col min="18" max="18" width="9.7109375" bestFit="1" customWidth="1"/>
    <col min="19" max="19" width="50.140625" bestFit="1" customWidth="1"/>
  </cols>
  <sheetData>
    <row r="1" spans="1:19" ht="16.5" thickBot="1" x14ac:dyDescent="0.3">
      <c r="A1" s="129" t="s">
        <v>172</v>
      </c>
      <c r="B1" s="130"/>
      <c r="C1" s="130"/>
      <c r="D1" s="130"/>
      <c r="E1" s="130"/>
      <c r="F1" s="130"/>
      <c r="G1" s="130"/>
      <c r="H1" s="130"/>
      <c r="I1" s="130"/>
      <c r="J1" s="130"/>
      <c r="K1" s="130"/>
      <c r="L1" s="130"/>
      <c r="M1" s="130"/>
      <c r="N1" s="130"/>
      <c r="O1" s="130"/>
      <c r="P1" s="130"/>
      <c r="Q1" s="130"/>
      <c r="R1" s="130"/>
      <c r="S1" s="131"/>
    </row>
    <row r="2" spans="1:19" ht="30.75" thickBot="1" x14ac:dyDescent="0.3">
      <c r="A2" s="24" t="s">
        <v>173</v>
      </c>
      <c r="B2" s="77" t="s">
        <v>174</v>
      </c>
      <c r="C2" s="77" t="s">
        <v>0</v>
      </c>
      <c r="D2" s="77" t="s">
        <v>1</v>
      </c>
      <c r="E2" s="77" t="s">
        <v>175</v>
      </c>
      <c r="F2" s="25" t="s">
        <v>2</v>
      </c>
      <c r="G2" s="25" t="s">
        <v>176</v>
      </c>
      <c r="H2" s="25" t="s">
        <v>218</v>
      </c>
      <c r="I2" s="25" t="s">
        <v>177</v>
      </c>
      <c r="J2" s="25" t="s">
        <v>178</v>
      </c>
      <c r="K2" s="25" t="s">
        <v>217</v>
      </c>
      <c r="L2" s="25" t="s">
        <v>179</v>
      </c>
      <c r="M2" s="25" t="s">
        <v>265</v>
      </c>
      <c r="N2" s="25" t="s">
        <v>266</v>
      </c>
      <c r="O2" s="25" t="s">
        <v>180</v>
      </c>
      <c r="P2" s="25" t="s">
        <v>181</v>
      </c>
      <c r="Q2" s="82" t="s">
        <v>268</v>
      </c>
      <c r="R2" s="25" t="s">
        <v>269</v>
      </c>
      <c r="S2" s="25" t="s">
        <v>267</v>
      </c>
    </row>
    <row r="3" spans="1:19" ht="15.75" thickBot="1" x14ac:dyDescent="0.3">
      <c r="A3" s="24">
        <v>1</v>
      </c>
      <c r="B3" s="132" t="s">
        <v>182</v>
      </c>
      <c r="C3" s="83" t="s">
        <v>262</v>
      </c>
      <c r="D3" s="42" t="s">
        <v>278</v>
      </c>
      <c r="E3" s="29" t="s">
        <v>261</v>
      </c>
      <c r="F3" s="29" t="s">
        <v>4</v>
      </c>
      <c r="G3" s="29" t="s">
        <v>198</v>
      </c>
      <c r="H3" s="29" t="s">
        <v>219</v>
      </c>
      <c r="I3" s="43" t="s">
        <v>270</v>
      </c>
      <c r="J3" s="56" t="s">
        <v>3</v>
      </c>
      <c r="K3" s="29">
        <v>25</v>
      </c>
      <c r="L3" s="44">
        <v>1</v>
      </c>
      <c r="M3" s="45">
        <f>L3*25</f>
        <v>25</v>
      </c>
      <c r="N3" s="46" t="s">
        <v>216</v>
      </c>
      <c r="O3" s="58">
        <v>0.24759999999999999</v>
      </c>
      <c r="P3" s="48">
        <f>O3*L3</f>
        <v>0.24759999999999999</v>
      </c>
      <c r="Q3" s="48">
        <v>0.1915</v>
      </c>
      <c r="R3" s="48">
        <f>Q3*K3</f>
        <v>4.7874999999999996</v>
      </c>
      <c r="S3" s="59"/>
    </row>
    <row r="4" spans="1:19" ht="15.75" thickBot="1" x14ac:dyDescent="0.3">
      <c r="A4" s="24">
        <v>2</v>
      </c>
      <c r="B4" s="133"/>
      <c r="C4" s="84" t="s">
        <v>6</v>
      </c>
      <c r="D4" s="28" t="s">
        <v>279</v>
      </c>
      <c r="E4" s="6" t="s">
        <v>7</v>
      </c>
      <c r="F4" s="6" t="s">
        <v>8</v>
      </c>
      <c r="G4" s="6" t="s">
        <v>199</v>
      </c>
      <c r="H4" s="6" t="s">
        <v>220</v>
      </c>
      <c r="I4" s="14" t="s">
        <v>270</v>
      </c>
      <c r="J4" s="26" t="s">
        <v>5</v>
      </c>
      <c r="K4" s="6">
        <v>100</v>
      </c>
      <c r="L4" s="7">
        <v>4</v>
      </c>
      <c r="M4" s="5">
        <f t="shared" ref="M4:M58" si="0">L4*25</f>
        <v>100</v>
      </c>
      <c r="N4" s="11" t="s">
        <v>216</v>
      </c>
      <c r="O4" s="8">
        <v>2.5000000000000001E-3</v>
      </c>
      <c r="P4" s="9">
        <f>O4*K4</f>
        <v>0.25</v>
      </c>
      <c r="Q4" s="9">
        <v>2.5000000000000001E-3</v>
      </c>
      <c r="R4" s="9">
        <f>Q4*K4</f>
        <v>0.25</v>
      </c>
      <c r="S4" s="68"/>
    </row>
    <row r="5" spans="1:19" ht="15.75" thickBot="1" x14ac:dyDescent="0.3">
      <c r="A5" s="24">
        <v>3</v>
      </c>
      <c r="B5" s="133"/>
      <c r="C5" s="84" t="s">
        <v>10</v>
      </c>
      <c r="D5" s="28" t="s">
        <v>11</v>
      </c>
      <c r="E5" s="6" t="s">
        <v>12</v>
      </c>
      <c r="F5" s="63" t="s">
        <v>13</v>
      </c>
      <c r="G5" s="6" t="s">
        <v>200</v>
      </c>
      <c r="H5" s="6" t="s">
        <v>221</v>
      </c>
      <c r="I5" s="15" t="s">
        <v>222</v>
      </c>
      <c r="J5" s="26" t="s">
        <v>9</v>
      </c>
      <c r="K5" s="6">
        <v>25</v>
      </c>
      <c r="L5" s="7">
        <v>1</v>
      </c>
      <c r="M5" s="5">
        <f t="shared" si="0"/>
        <v>25</v>
      </c>
      <c r="N5" s="11" t="s">
        <v>216</v>
      </c>
      <c r="O5" s="8">
        <v>0.1062</v>
      </c>
      <c r="P5" s="9">
        <f>O5*K5</f>
        <v>2.6550000000000002</v>
      </c>
      <c r="Q5" s="9">
        <v>0.1062</v>
      </c>
      <c r="R5" s="9">
        <f t="shared" ref="R5:R21" si="1">Q5*K5</f>
        <v>2.6550000000000002</v>
      </c>
      <c r="S5" s="68"/>
    </row>
    <row r="6" spans="1:19" ht="15.75" thickBot="1" x14ac:dyDescent="0.3">
      <c r="A6" s="24">
        <v>4</v>
      </c>
      <c r="B6" s="133"/>
      <c r="C6" s="84" t="s">
        <v>263</v>
      </c>
      <c r="D6" s="28" t="s">
        <v>15</v>
      </c>
      <c r="E6" s="6" t="s">
        <v>261</v>
      </c>
      <c r="F6" s="6" t="s">
        <v>16</v>
      </c>
      <c r="G6" s="6" t="s">
        <v>201</v>
      </c>
      <c r="H6" s="6" t="s">
        <v>223</v>
      </c>
      <c r="I6" s="14" t="s">
        <v>270</v>
      </c>
      <c r="J6" s="26" t="s">
        <v>14</v>
      </c>
      <c r="K6" s="6">
        <v>25</v>
      </c>
      <c r="L6" s="7">
        <v>1</v>
      </c>
      <c r="M6" s="5">
        <f t="shared" si="0"/>
        <v>25</v>
      </c>
      <c r="N6" s="11" t="s">
        <v>216</v>
      </c>
      <c r="O6" s="8">
        <v>0.4148</v>
      </c>
      <c r="P6" s="9">
        <f>O6*L6</f>
        <v>0.4148</v>
      </c>
      <c r="Q6" s="9">
        <v>0.31740000000000002</v>
      </c>
      <c r="R6" s="9">
        <f t="shared" si="1"/>
        <v>7.9350000000000005</v>
      </c>
      <c r="S6" s="68"/>
    </row>
    <row r="7" spans="1:19" ht="15.75" thickBot="1" x14ac:dyDescent="0.3">
      <c r="A7" s="24">
        <v>5</v>
      </c>
      <c r="B7" s="133"/>
      <c r="C7" s="84" t="s">
        <v>264</v>
      </c>
      <c r="D7" s="28" t="s">
        <v>18</v>
      </c>
      <c r="E7" s="6" t="s">
        <v>261</v>
      </c>
      <c r="F7" s="6" t="s">
        <v>19</v>
      </c>
      <c r="G7" s="6" t="s">
        <v>198</v>
      </c>
      <c r="H7" s="6" t="s">
        <v>224</v>
      </c>
      <c r="I7" s="14" t="s">
        <v>270</v>
      </c>
      <c r="J7" s="26" t="s">
        <v>17</v>
      </c>
      <c r="K7" s="6">
        <v>25</v>
      </c>
      <c r="L7" s="7">
        <v>1</v>
      </c>
      <c r="M7" s="5">
        <f t="shared" si="0"/>
        <v>25</v>
      </c>
      <c r="N7" s="11" t="s">
        <v>216</v>
      </c>
      <c r="O7" s="8">
        <v>9.5000000000000001E-2</v>
      </c>
      <c r="P7" s="9">
        <f>O7*K7</f>
        <v>2.375</v>
      </c>
      <c r="Q7" s="9">
        <v>9.5000000000000001E-2</v>
      </c>
      <c r="R7" s="9">
        <f t="shared" si="1"/>
        <v>2.375</v>
      </c>
      <c r="S7" s="68"/>
    </row>
    <row r="8" spans="1:19" ht="15.75" thickBot="1" x14ac:dyDescent="0.3">
      <c r="A8" s="24">
        <v>6</v>
      </c>
      <c r="B8" s="133"/>
      <c r="C8" s="84" t="s">
        <v>21</v>
      </c>
      <c r="D8" s="28" t="s">
        <v>22</v>
      </c>
      <c r="E8" s="6" t="s">
        <v>7</v>
      </c>
      <c r="F8" s="6" t="s">
        <v>23</v>
      </c>
      <c r="G8" s="6" t="s">
        <v>192</v>
      </c>
      <c r="H8" s="6" t="s">
        <v>225</v>
      </c>
      <c r="I8" s="14" t="s">
        <v>270</v>
      </c>
      <c r="J8" s="26" t="s">
        <v>20</v>
      </c>
      <c r="K8" s="6">
        <v>50</v>
      </c>
      <c r="L8" s="7">
        <v>1</v>
      </c>
      <c r="M8" s="5">
        <f t="shared" si="0"/>
        <v>25</v>
      </c>
      <c r="N8" s="11" t="s">
        <v>216</v>
      </c>
      <c r="O8" s="8">
        <v>4.1999999999999997E-3</v>
      </c>
      <c r="P8" s="9">
        <f>O8*K8</f>
        <v>0.21</v>
      </c>
      <c r="Q8" s="9">
        <v>4.1999999999999997E-3</v>
      </c>
      <c r="R8" s="9">
        <f t="shared" si="1"/>
        <v>0.21</v>
      </c>
      <c r="S8" s="68"/>
    </row>
    <row r="9" spans="1:19" ht="15.75" thickBot="1" x14ac:dyDescent="0.3">
      <c r="A9" s="24">
        <v>7</v>
      </c>
      <c r="B9" s="133"/>
      <c r="C9" s="84" t="s">
        <v>25</v>
      </c>
      <c r="D9" s="28" t="s">
        <v>42</v>
      </c>
      <c r="E9" s="6" t="s">
        <v>26</v>
      </c>
      <c r="F9" s="6" t="s">
        <v>27</v>
      </c>
      <c r="G9" s="6" t="s">
        <v>202</v>
      </c>
      <c r="H9" s="6" t="s">
        <v>226</v>
      </c>
      <c r="I9" s="14" t="s">
        <v>270</v>
      </c>
      <c r="J9" s="26" t="s">
        <v>24</v>
      </c>
      <c r="K9" s="6">
        <v>40</v>
      </c>
      <c r="L9" s="7">
        <v>1</v>
      </c>
      <c r="M9" s="5">
        <f t="shared" si="0"/>
        <v>25</v>
      </c>
      <c r="N9" s="11" t="s">
        <v>216</v>
      </c>
      <c r="O9" s="8">
        <v>3.27E-2</v>
      </c>
      <c r="P9" s="9">
        <f>O9*K9</f>
        <v>1.3080000000000001</v>
      </c>
      <c r="Q9" s="9">
        <v>3.27E-2</v>
      </c>
      <c r="R9" s="9">
        <f t="shared" si="1"/>
        <v>1.3080000000000001</v>
      </c>
      <c r="S9" s="68"/>
    </row>
    <row r="10" spans="1:19" ht="15.75" thickBot="1" x14ac:dyDescent="0.3">
      <c r="A10" s="24">
        <v>8</v>
      </c>
      <c r="B10" s="133"/>
      <c r="C10" s="84" t="s">
        <v>281</v>
      </c>
      <c r="D10" s="28" t="s">
        <v>282</v>
      </c>
      <c r="E10" s="6" t="s">
        <v>261</v>
      </c>
      <c r="F10" s="6" t="s">
        <v>283</v>
      </c>
      <c r="G10" s="6" t="s">
        <v>284</v>
      </c>
      <c r="H10" s="6" t="s">
        <v>314</v>
      </c>
      <c r="I10" s="14" t="s">
        <v>270</v>
      </c>
      <c r="J10" s="26" t="s">
        <v>3</v>
      </c>
      <c r="K10" s="6">
        <v>25</v>
      </c>
      <c r="L10" s="7">
        <v>1</v>
      </c>
      <c r="M10" s="5">
        <f t="shared" si="0"/>
        <v>25</v>
      </c>
      <c r="N10" s="11" t="s">
        <v>216</v>
      </c>
      <c r="O10" s="8">
        <v>0.32279999999999998</v>
      </c>
      <c r="P10" s="9">
        <f>O10*K10</f>
        <v>8.07</v>
      </c>
      <c r="Q10" s="9">
        <v>0.32279999999999998</v>
      </c>
      <c r="R10" s="9">
        <f t="shared" si="1"/>
        <v>8.07</v>
      </c>
      <c r="S10" s="68"/>
    </row>
    <row r="11" spans="1:19" ht="15.75" thickBot="1" x14ac:dyDescent="0.3">
      <c r="A11" s="24">
        <v>9</v>
      </c>
      <c r="B11" s="133"/>
      <c r="C11" s="84" t="s">
        <v>287</v>
      </c>
      <c r="D11" s="28" t="s">
        <v>288</v>
      </c>
      <c r="E11" s="6" t="s">
        <v>289</v>
      </c>
      <c r="F11" s="6" t="s">
        <v>290</v>
      </c>
      <c r="G11" s="6" t="s">
        <v>291</v>
      </c>
      <c r="H11" s="6" t="s">
        <v>315</v>
      </c>
      <c r="I11" s="14" t="s">
        <v>270</v>
      </c>
      <c r="J11" s="26" t="s">
        <v>296</v>
      </c>
      <c r="K11" s="6">
        <v>50</v>
      </c>
      <c r="L11" s="7">
        <v>2</v>
      </c>
      <c r="M11" s="5">
        <f t="shared" si="0"/>
        <v>50</v>
      </c>
      <c r="N11" s="11" t="s">
        <v>216</v>
      </c>
      <c r="O11" s="8">
        <v>3.4299999999999997E-2</v>
      </c>
      <c r="P11" s="9">
        <f>O11*L11</f>
        <v>6.8599999999999994E-2</v>
      </c>
      <c r="Q11" s="9">
        <v>2.5000000000000001E-2</v>
      </c>
      <c r="R11" s="9">
        <f t="shared" si="1"/>
        <v>1.25</v>
      </c>
      <c r="S11" s="68"/>
    </row>
    <row r="12" spans="1:19" ht="15.75" thickBot="1" x14ac:dyDescent="0.3">
      <c r="A12" s="24">
        <v>10</v>
      </c>
      <c r="B12" s="133"/>
      <c r="C12" s="84" t="s">
        <v>29</v>
      </c>
      <c r="D12" s="28" t="s">
        <v>280</v>
      </c>
      <c r="E12" s="6" t="s">
        <v>26</v>
      </c>
      <c r="F12" s="6" t="s">
        <v>30</v>
      </c>
      <c r="G12" s="6" t="s">
        <v>203</v>
      </c>
      <c r="H12" s="6" t="s">
        <v>227</v>
      </c>
      <c r="I12" s="14" t="s">
        <v>270</v>
      </c>
      <c r="J12" s="26" t="s">
        <v>28</v>
      </c>
      <c r="K12" s="6">
        <v>100</v>
      </c>
      <c r="L12" s="7">
        <v>4</v>
      </c>
      <c r="M12" s="5">
        <f t="shared" si="0"/>
        <v>100</v>
      </c>
      <c r="N12" s="11" t="s">
        <v>216</v>
      </c>
      <c r="O12" s="8">
        <v>3.6700000000000003E-2</v>
      </c>
      <c r="P12" s="9">
        <f t="shared" ref="P12:P19" si="2">O12*K12</f>
        <v>3.6700000000000004</v>
      </c>
      <c r="Q12" s="9">
        <v>3.6700000000000003E-2</v>
      </c>
      <c r="R12" s="9">
        <f t="shared" si="1"/>
        <v>3.6700000000000004</v>
      </c>
      <c r="S12" s="68"/>
    </row>
    <row r="13" spans="1:19" ht="15.75" thickBot="1" x14ac:dyDescent="0.3">
      <c r="A13" s="24">
        <v>11</v>
      </c>
      <c r="B13" s="133"/>
      <c r="C13" s="84" t="s">
        <v>32</v>
      </c>
      <c r="D13" s="28" t="s">
        <v>33</v>
      </c>
      <c r="E13" s="6" t="s">
        <v>7</v>
      </c>
      <c r="F13" s="6" t="s">
        <v>34</v>
      </c>
      <c r="G13" s="6" t="s">
        <v>199</v>
      </c>
      <c r="H13" s="6" t="s">
        <v>228</v>
      </c>
      <c r="I13" s="14" t="s">
        <v>270</v>
      </c>
      <c r="J13" s="26" t="s">
        <v>31</v>
      </c>
      <c r="K13" s="6">
        <v>60</v>
      </c>
      <c r="L13" s="7">
        <v>2</v>
      </c>
      <c r="M13" s="5">
        <f t="shared" si="0"/>
        <v>50</v>
      </c>
      <c r="N13" s="11" t="s">
        <v>216</v>
      </c>
      <c r="O13" s="8">
        <v>2.3E-2</v>
      </c>
      <c r="P13" s="9">
        <f t="shared" si="2"/>
        <v>1.38</v>
      </c>
      <c r="Q13" s="9">
        <v>2.3E-2</v>
      </c>
      <c r="R13" s="9">
        <f t="shared" si="1"/>
        <v>1.38</v>
      </c>
      <c r="S13" s="68"/>
    </row>
    <row r="14" spans="1:19" ht="15.75" thickBot="1" x14ac:dyDescent="0.3">
      <c r="A14" s="24">
        <v>12</v>
      </c>
      <c r="B14" s="133"/>
      <c r="C14" s="84" t="s">
        <v>285</v>
      </c>
      <c r="D14" s="28" t="s">
        <v>35</v>
      </c>
      <c r="E14" s="6" t="s">
        <v>26</v>
      </c>
      <c r="F14" s="6" t="s">
        <v>286</v>
      </c>
      <c r="G14" s="6" t="s">
        <v>192</v>
      </c>
      <c r="H14" s="6" t="s">
        <v>316</v>
      </c>
      <c r="I14" s="14" t="s">
        <v>270</v>
      </c>
      <c r="J14" s="6" t="s">
        <v>5</v>
      </c>
      <c r="K14" s="6">
        <v>50</v>
      </c>
      <c r="L14" s="7">
        <v>2</v>
      </c>
      <c r="M14" s="5">
        <f t="shared" si="0"/>
        <v>50</v>
      </c>
      <c r="N14" s="11" t="s">
        <v>216</v>
      </c>
      <c r="O14" s="8">
        <v>7.9000000000000008E-3</v>
      </c>
      <c r="P14" s="9">
        <f t="shared" si="2"/>
        <v>0.39500000000000002</v>
      </c>
      <c r="Q14" s="9">
        <v>7.9000000000000008E-3</v>
      </c>
      <c r="R14" s="9">
        <f t="shared" si="1"/>
        <v>0.39500000000000002</v>
      </c>
      <c r="S14" s="68"/>
    </row>
    <row r="15" spans="1:19" ht="15.75" thickBot="1" x14ac:dyDescent="0.3">
      <c r="A15" s="24">
        <v>13</v>
      </c>
      <c r="B15" s="133"/>
      <c r="C15" s="84" t="s">
        <v>229</v>
      </c>
      <c r="D15" s="123" t="s">
        <v>215</v>
      </c>
      <c r="E15" s="6" t="s">
        <v>12</v>
      </c>
      <c r="F15" s="63" t="s">
        <v>230</v>
      </c>
      <c r="G15" s="6" t="s">
        <v>204</v>
      </c>
      <c r="H15" s="6" t="s">
        <v>232</v>
      </c>
      <c r="I15" s="2" t="s">
        <v>233</v>
      </c>
      <c r="J15" s="6" t="s">
        <v>36</v>
      </c>
      <c r="K15" s="6">
        <v>100</v>
      </c>
      <c r="L15" s="7">
        <v>4</v>
      </c>
      <c r="M15" s="5">
        <f t="shared" si="0"/>
        <v>100</v>
      </c>
      <c r="N15" s="11" t="s">
        <v>216</v>
      </c>
      <c r="O15" s="8">
        <v>1.9300000000000001E-2</v>
      </c>
      <c r="P15" s="9">
        <f t="shared" si="2"/>
        <v>1.9300000000000002</v>
      </c>
      <c r="Q15" s="9">
        <v>1.9300000000000001E-2</v>
      </c>
      <c r="R15" s="9">
        <f t="shared" si="1"/>
        <v>1.9300000000000002</v>
      </c>
      <c r="S15" s="69"/>
    </row>
    <row r="16" spans="1:19" ht="15.75" thickBot="1" x14ac:dyDescent="0.3">
      <c r="A16" s="24">
        <v>14</v>
      </c>
      <c r="B16" s="133"/>
      <c r="C16" s="85" t="s">
        <v>211</v>
      </c>
      <c r="D16" s="123" t="s">
        <v>212</v>
      </c>
      <c r="E16" s="2" t="s">
        <v>213</v>
      </c>
      <c r="F16" s="2" t="s">
        <v>214</v>
      </c>
      <c r="G16" s="2" t="s">
        <v>202</v>
      </c>
      <c r="H16" s="2" t="s">
        <v>231</v>
      </c>
      <c r="I16" s="16" t="s">
        <v>271</v>
      </c>
      <c r="J16" s="2" t="s">
        <v>36</v>
      </c>
      <c r="K16" s="2">
        <v>100</v>
      </c>
      <c r="L16" s="3">
        <v>4</v>
      </c>
      <c r="M16" s="5">
        <f t="shared" si="0"/>
        <v>100</v>
      </c>
      <c r="N16" s="11" t="s">
        <v>216</v>
      </c>
      <c r="O16" s="4">
        <v>3.56E-2</v>
      </c>
      <c r="P16" s="9">
        <f t="shared" si="2"/>
        <v>3.56</v>
      </c>
      <c r="Q16" s="9">
        <v>3.56E-2</v>
      </c>
      <c r="R16" s="9">
        <f t="shared" si="1"/>
        <v>3.56</v>
      </c>
      <c r="S16" s="68"/>
    </row>
    <row r="17" spans="1:19" ht="15.75" thickBot="1" x14ac:dyDescent="0.3">
      <c r="A17" s="24">
        <v>15</v>
      </c>
      <c r="B17" s="133"/>
      <c r="C17" s="84" t="s">
        <v>38</v>
      </c>
      <c r="D17" s="28" t="s">
        <v>39</v>
      </c>
      <c r="E17" s="6" t="s">
        <v>26</v>
      </c>
      <c r="F17" s="63" t="s">
        <v>40</v>
      </c>
      <c r="G17" s="6" t="s">
        <v>200</v>
      </c>
      <c r="H17" s="6" t="s">
        <v>272</v>
      </c>
      <c r="I17" s="14" t="s">
        <v>273</v>
      </c>
      <c r="J17" s="6" t="s">
        <v>37</v>
      </c>
      <c r="K17" s="6">
        <v>50</v>
      </c>
      <c r="L17" s="7">
        <v>1</v>
      </c>
      <c r="M17" s="5">
        <f t="shared" si="0"/>
        <v>25</v>
      </c>
      <c r="N17" s="11" t="s">
        <v>216</v>
      </c>
      <c r="O17" s="8">
        <v>5.1000000000000004E-3</v>
      </c>
      <c r="P17" s="9">
        <f t="shared" si="2"/>
        <v>0.255</v>
      </c>
      <c r="Q17" s="9">
        <v>5.1000000000000004E-3</v>
      </c>
      <c r="R17" s="9">
        <f t="shared" si="1"/>
        <v>0.255</v>
      </c>
      <c r="S17" s="68"/>
    </row>
    <row r="18" spans="1:19" ht="15.75" thickBot="1" x14ac:dyDescent="0.3">
      <c r="A18" s="24">
        <v>16</v>
      </c>
      <c r="B18" s="133"/>
      <c r="C18" s="84" t="s">
        <v>25</v>
      </c>
      <c r="D18" s="28" t="s">
        <v>42</v>
      </c>
      <c r="E18" s="6" t="s">
        <v>26</v>
      </c>
      <c r="F18" s="6" t="s">
        <v>27</v>
      </c>
      <c r="G18" s="6" t="s">
        <v>202</v>
      </c>
      <c r="H18" s="6" t="s">
        <v>226</v>
      </c>
      <c r="I18" s="14" t="s">
        <v>270</v>
      </c>
      <c r="J18" s="6" t="s">
        <v>41</v>
      </c>
      <c r="K18" s="6">
        <v>40</v>
      </c>
      <c r="L18" s="7">
        <v>1</v>
      </c>
      <c r="M18" s="5">
        <f t="shared" si="0"/>
        <v>25</v>
      </c>
      <c r="N18" s="11" t="s">
        <v>216</v>
      </c>
      <c r="O18" s="8">
        <v>3.27E-2</v>
      </c>
      <c r="P18" s="9">
        <f t="shared" si="2"/>
        <v>1.3080000000000001</v>
      </c>
      <c r="Q18" s="9">
        <v>3.27E-2</v>
      </c>
      <c r="R18" s="9">
        <f t="shared" si="1"/>
        <v>1.3080000000000001</v>
      </c>
      <c r="S18" s="69"/>
    </row>
    <row r="19" spans="1:19" ht="15.75" thickBot="1" x14ac:dyDescent="0.3">
      <c r="A19" s="24">
        <v>17</v>
      </c>
      <c r="B19" s="133"/>
      <c r="C19" s="84" t="s">
        <v>44</v>
      </c>
      <c r="D19" s="28" t="s">
        <v>45</v>
      </c>
      <c r="E19" s="6" t="s">
        <v>46</v>
      </c>
      <c r="F19" s="6" t="s">
        <v>47</v>
      </c>
      <c r="G19" s="6" t="s">
        <v>202</v>
      </c>
      <c r="H19" s="6" t="s">
        <v>235</v>
      </c>
      <c r="I19" s="27" t="s">
        <v>270</v>
      </c>
      <c r="J19" s="6" t="s">
        <v>43</v>
      </c>
      <c r="K19" s="6">
        <v>100</v>
      </c>
      <c r="L19" s="7">
        <v>4</v>
      </c>
      <c r="M19" s="5">
        <f t="shared" si="0"/>
        <v>100</v>
      </c>
      <c r="N19" s="11" t="s">
        <v>216</v>
      </c>
      <c r="O19" s="8">
        <v>3.5999999999999999E-3</v>
      </c>
      <c r="P19" s="9">
        <f t="shared" si="2"/>
        <v>0.36</v>
      </c>
      <c r="Q19" s="9">
        <v>3.5999999999999999E-3</v>
      </c>
      <c r="R19" s="9">
        <f t="shared" si="1"/>
        <v>0.36</v>
      </c>
      <c r="S19" s="68"/>
    </row>
    <row r="20" spans="1:19" ht="15.75" thickBot="1" x14ac:dyDescent="0.3">
      <c r="A20" s="24">
        <v>18</v>
      </c>
      <c r="B20" s="134"/>
      <c r="C20" s="86" t="s">
        <v>292</v>
      </c>
      <c r="D20" s="49" t="s">
        <v>293</v>
      </c>
      <c r="E20" s="30" t="s">
        <v>294</v>
      </c>
      <c r="F20" s="30" t="s">
        <v>295</v>
      </c>
      <c r="G20" s="30" t="s">
        <v>317</v>
      </c>
      <c r="H20" s="30" t="s">
        <v>318</v>
      </c>
      <c r="I20" s="78" t="s">
        <v>271</v>
      </c>
      <c r="J20" s="30" t="s">
        <v>319</v>
      </c>
      <c r="K20" s="30">
        <v>50</v>
      </c>
      <c r="L20" s="50">
        <v>2</v>
      </c>
      <c r="M20" s="79">
        <f t="shared" si="0"/>
        <v>50</v>
      </c>
      <c r="N20" s="51" t="s">
        <v>216</v>
      </c>
      <c r="O20" s="80">
        <v>0.16539999999999999</v>
      </c>
      <c r="P20" s="53">
        <f>O20*L20</f>
        <v>0.33079999999999998</v>
      </c>
      <c r="Q20" s="53">
        <v>0.1134</v>
      </c>
      <c r="R20" s="53">
        <f t="shared" si="1"/>
        <v>5.67</v>
      </c>
      <c r="S20" s="81"/>
    </row>
    <row r="21" spans="1:19" ht="15.75" thickBot="1" x14ac:dyDescent="0.3">
      <c r="A21" s="24">
        <v>19</v>
      </c>
      <c r="B21" s="132" t="s">
        <v>183</v>
      </c>
      <c r="C21" s="87" t="s">
        <v>49</v>
      </c>
      <c r="D21" s="31" t="s">
        <v>50</v>
      </c>
      <c r="E21" s="18" t="s">
        <v>261</v>
      </c>
      <c r="F21" s="18" t="s">
        <v>48</v>
      </c>
      <c r="G21" s="18" t="s">
        <v>320</v>
      </c>
      <c r="H21" s="18" t="s">
        <v>270</v>
      </c>
      <c r="I21" s="41" t="s">
        <v>270</v>
      </c>
      <c r="J21" s="17" t="s">
        <v>321</v>
      </c>
      <c r="K21" s="17">
        <v>25</v>
      </c>
      <c r="L21" s="19">
        <v>1</v>
      </c>
      <c r="M21" s="20">
        <f t="shared" si="0"/>
        <v>25</v>
      </c>
      <c r="N21" s="21" t="s">
        <v>234</v>
      </c>
      <c r="O21" s="55">
        <v>0.25140000000000001</v>
      </c>
      <c r="P21" s="23">
        <f>O21*L21</f>
        <v>0.25140000000000001</v>
      </c>
      <c r="Q21" s="23">
        <v>0.25140000000000001</v>
      </c>
      <c r="R21" s="23">
        <f t="shared" si="1"/>
        <v>6.2850000000000001</v>
      </c>
      <c r="S21" s="89"/>
    </row>
    <row r="22" spans="1:19" ht="15.75" thickBot="1" x14ac:dyDescent="0.3">
      <c r="A22" s="24">
        <v>20</v>
      </c>
      <c r="B22" s="133"/>
      <c r="C22" s="94" t="s">
        <v>52</v>
      </c>
      <c r="D22" s="124" t="s">
        <v>53</v>
      </c>
      <c r="E22" s="95" t="s">
        <v>54</v>
      </c>
      <c r="F22" s="95" t="s">
        <v>51</v>
      </c>
      <c r="G22" s="95" t="s">
        <v>322</v>
      </c>
      <c r="H22" s="95" t="s">
        <v>270</v>
      </c>
      <c r="I22" s="33" t="s">
        <v>270</v>
      </c>
      <c r="J22" s="32" t="s">
        <v>321</v>
      </c>
      <c r="K22" s="32">
        <v>200</v>
      </c>
      <c r="L22" s="34">
        <v>8</v>
      </c>
      <c r="M22" s="40">
        <f t="shared" si="0"/>
        <v>200</v>
      </c>
      <c r="N22" s="36" t="s">
        <v>234</v>
      </c>
      <c r="O22" s="93">
        <v>0.104</v>
      </c>
      <c r="P22" s="38">
        <f>O22*10</f>
        <v>1.04</v>
      </c>
      <c r="Q22" s="38">
        <v>0.104</v>
      </c>
      <c r="R22" s="38">
        <f>Q22*M22</f>
        <v>20.8</v>
      </c>
      <c r="S22" s="96"/>
    </row>
    <row r="23" spans="1:19" ht="15.75" thickBot="1" x14ac:dyDescent="0.3">
      <c r="A23" s="24">
        <v>21</v>
      </c>
      <c r="B23" s="132" t="s">
        <v>297</v>
      </c>
      <c r="C23" s="83" t="s">
        <v>74</v>
      </c>
      <c r="D23" s="42" t="s">
        <v>75</v>
      </c>
      <c r="E23" s="29" t="s">
        <v>261</v>
      </c>
      <c r="F23" s="29" t="s">
        <v>73</v>
      </c>
      <c r="G23" s="29" t="s">
        <v>205</v>
      </c>
      <c r="H23" s="29" t="s">
        <v>236</v>
      </c>
      <c r="I23" s="57" t="s">
        <v>274</v>
      </c>
      <c r="J23" s="29" t="s">
        <v>275</v>
      </c>
      <c r="K23" s="29">
        <v>25</v>
      </c>
      <c r="L23" s="44">
        <v>1</v>
      </c>
      <c r="M23" s="45">
        <f t="shared" si="0"/>
        <v>25</v>
      </c>
      <c r="N23" s="46" t="s">
        <v>216</v>
      </c>
      <c r="O23" s="58">
        <v>0.1181</v>
      </c>
      <c r="P23" s="48">
        <f>O23*K23</f>
        <v>2.9525000000000001</v>
      </c>
      <c r="Q23" s="48">
        <v>0.1181</v>
      </c>
      <c r="R23" s="48">
        <f>Q23*M23</f>
        <v>2.9525000000000001</v>
      </c>
      <c r="S23" s="59"/>
    </row>
    <row r="24" spans="1:19" ht="15.75" thickBot="1" x14ac:dyDescent="0.3">
      <c r="A24" s="24">
        <v>22</v>
      </c>
      <c r="B24" s="134"/>
      <c r="C24" s="86" t="s">
        <v>77</v>
      </c>
      <c r="D24" s="49" t="s">
        <v>78</v>
      </c>
      <c r="E24" s="30" t="s">
        <v>79</v>
      </c>
      <c r="F24" s="64" t="s">
        <v>76</v>
      </c>
      <c r="G24" s="97" t="s">
        <v>276</v>
      </c>
      <c r="H24" s="30" t="s">
        <v>238</v>
      </c>
      <c r="I24" s="30" t="s">
        <v>237</v>
      </c>
      <c r="J24" s="30" t="s">
        <v>275</v>
      </c>
      <c r="K24" s="30">
        <v>30</v>
      </c>
      <c r="L24" s="50">
        <v>1</v>
      </c>
      <c r="M24" s="79">
        <f t="shared" si="0"/>
        <v>25</v>
      </c>
      <c r="N24" s="51" t="s">
        <v>216</v>
      </c>
      <c r="O24" s="52">
        <v>6.7000000000000004E-2</v>
      </c>
      <c r="P24" s="53">
        <f>O24*K24</f>
        <v>2.0100000000000002</v>
      </c>
      <c r="Q24" s="53">
        <v>6.7000000000000004E-2</v>
      </c>
      <c r="R24" s="53">
        <f>Q24*M24</f>
        <v>1.675</v>
      </c>
      <c r="S24" s="54"/>
    </row>
    <row r="25" spans="1:19" ht="15.75" thickBot="1" x14ac:dyDescent="0.3">
      <c r="A25" s="24">
        <v>23</v>
      </c>
      <c r="B25" s="121" t="s">
        <v>184</v>
      </c>
      <c r="C25" s="98" t="s">
        <v>56</v>
      </c>
      <c r="D25" s="125" t="s">
        <v>57</v>
      </c>
      <c r="E25" s="99" t="s">
        <v>261</v>
      </c>
      <c r="F25" s="99" t="s">
        <v>55</v>
      </c>
      <c r="G25" s="99" t="s">
        <v>206</v>
      </c>
      <c r="H25" s="99" t="s">
        <v>242</v>
      </c>
      <c r="I25" s="99" t="s">
        <v>277</v>
      </c>
      <c r="J25" s="99" t="s">
        <v>275</v>
      </c>
      <c r="K25" s="99">
        <v>25</v>
      </c>
      <c r="L25" s="100">
        <v>1</v>
      </c>
      <c r="M25" s="35">
        <f t="shared" si="0"/>
        <v>25</v>
      </c>
      <c r="N25" s="101" t="s">
        <v>234</v>
      </c>
      <c r="O25" s="102">
        <v>0.1353</v>
      </c>
      <c r="P25" s="39">
        <f>O25*L25</f>
        <v>0.1353</v>
      </c>
      <c r="Q25" s="39">
        <v>0.1353</v>
      </c>
      <c r="R25" s="39">
        <f>Q25*M25</f>
        <v>3.3825000000000003</v>
      </c>
      <c r="S25" s="103"/>
    </row>
    <row r="26" spans="1:19" ht="15.75" thickBot="1" x14ac:dyDescent="0.3">
      <c r="A26" s="24">
        <v>24</v>
      </c>
      <c r="B26" s="122" t="s">
        <v>186</v>
      </c>
      <c r="C26" s="104" t="s">
        <v>71</v>
      </c>
      <c r="D26" s="126" t="s">
        <v>72</v>
      </c>
      <c r="E26" s="105" t="s">
        <v>261</v>
      </c>
      <c r="F26" s="105" t="s">
        <v>70</v>
      </c>
      <c r="G26" s="106" t="s">
        <v>323</v>
      </c>
      <c r="H26" s="105" t="s">
        <v>239</v>
      </c>
      <c r="I26" s="105" t="s">
        <v>277</v>
      </c>
      <c r="J26" s="105" t="s">
        <v>275</v>
      </c>
      <c r="K26" s="105">
        <v>25</v>
      </c>
      <c r="L26" s="107">
        <v>1</v>
      </c>
      <c r="M26" s="108">
        <f t="shared" si="0"/>
        <v>25</v>
      </c>
      <c r="N26" s="109" t="s">
        <v>216</v>
      </c>
      <c r="O26" s="110">
        <v>0.752</v>
      </c>
      <c r="P26" s="111">
        <f>O26*L26</f>
        <v>0.752</v>
      </c>
      <c r="Q26" s="111">
        <v>0.752</v>
      </c>
      <c r="R26" s="111">
        <f>Q26*M26</f>
        <v>18.8</v>
      </c>
      <c r="S26" s="112"/>
    </row>
    <row r="27" spans="1:19" ht="25.5" customHeight="1" thickBot="1" x14ac:dyDescent="0.3">
      <c r="A27" s="24">
        <v>25</v>
      </c>
      <c r="B27" s="121" t="s">
        <v>185</v>
      </c>
      <c r="C27" s="98" t="s">
        <v>90</v>
      </c>
      <c r="D27" s="125" t="s">
        <v>91</v>
      </c>
      <c r="E27" s="99" t="s">
        <v>92</v>
      </c>
      <c r="F27" s="99" t="s">
        <v>89</v>
      </c>
      <c r="G27" s="99" t="s">
        <v>324</v>
      </c>
      <c r="H27" s="99" t="s">
        <v>240</v>
      </c>
      <c r="I27" s="99" t="s">
        <v>277</v>
      </c>
      <c r="J27" s="99" t="s">
        <v>275</v>
      </c>
      <c r="K27" s="99">
        <v>200</v>
      </c>
      <c r="L27" s="100">
        <v>8</v>
      </c>
      <c r="M27" s="35">
        <f t="shared" si="0"/>
        <v>200</v>
      </c>
      <c r="N27" s="101" t="s">
        <v>234</v>
      </c>
      <c r="O27" s="102">
        <v>0.72240000000000004</v>
      </c>
      <c r="P27" s="39">
        <f>O27*L27</f>
        <v>5.7792000000000003</v>
      </c>
      <c r="Q27" s="39">
        <v>0.72240000000000004</v>
      </c>
      <c r="R27" s="39">
        <f>Q27*K27</f>
        <v>144.48000000000002</v>
      </c>
      <c r="S27" s="103"/>
    </row>
    <row r="28" spans="1:19" ht="15.75" thickBot="1" x14ac:dyDescent="0.3">
      <c r="A28" s="24">
        <v>26</v>
      </c>
      <c r="B28" s="132" t="s">
        <v>187</v>
      </c>
      <c r="C28" s="83" t="s">
        <v>94</v>
      </c>
      <c r="D28" s="42" t="s">
        <v>95</v>
      </c>
      <c r="E28" s="29" t="s">
        <v>46</v>
      </c>
      <c r="F28" s="29" t="s">
        <v>96</v>
      </c>
      <c r="G28" s="29" t="s">
        <v>192</v>
      </c>
      <c r="H28" s="29" t="s">
        <v>241</v>
      </c>
      <c r="I28" s="29" t="s">
        <v>277</v>
      </c>
      <c r="J28" s="29" t="s">
        <v>93</v>
      </c>
      <c r="K28" s="29">
        <v>100</v>
      </c>
      <c r="L28" s="44">
        <v>2</v>
      </c>
      <c r="M28" s="45">
        <f t="shared" si="0"/>
        <v>50</v>
      </c>
      <c r="N28" s="46" t="s">
        <v>216</v>
      </c>
      <c r="O28" s="47">
        <v>1.1000000000000001E-3</v>
      </c>
      <c r="P28" s="48">
        <f t="shared" ref="P28:P41" si="3">O28*K28</f>
        <v>0.11</v>
      </c>
      <c r="Q28" s="48">
        <v>1.1000000000000001E-3</v>
      </c>
      <c r="R28" s="48">
        <f t="shared" ref="R28:R56" si="4">Q28*K28</f>
        <v>0.11</v>
      </c>
      <c r="S28" s="59"/>
    </row>
    <row r="29" spans="1:19" s="62" customFormat="1" ht="15.75" thickBot="1" x14ac:dyDescent="0.3">
      <c r="A29" s="24">
        <v>27</v>
      </c>
      <c r="B29" s="133"/>
      <c r="C29" s="84" t="s">
        <v>298</v>
      </c>
      <c r="D29" s="28" t="s">
        <v>97</v>
      </c>
      <c r="E29" s="6" t="s">
        <v>46</v>
      </c>
      <c r="F29" s="6" t="s">
        <v>299</v>
      </c>
      <c r="G29" s="6" t="s">
        <v>300</v>
      </c>
      <c r="H29" s="6" t="s">
        <v>325</v>
      </c>
      <c r="I29" s="6" t="s">
        <v>277</v>
      </c>
      <c r="J29" s="6" t="s">
        <v>306</v>
      </c>
      <c r="K29" s="2">
        <v>40</v>
      </c>
      <c r="L29" s="7">
        <v>1</v>
      </c>
      <c r="M29" s="5">
        <f t="shared" si="0"/>
        <v>25</v>
      </c>
      <c r="N29" s="60" t="s">
        <v>216</v>
      </c>
      <c r="O29" s="4">
        <v>1.7999999999999999E-2</v>
      </c>
      <c r="P29" s="61">
        <f t="shared" si="3"/>
        <v>0.72</v>
      </c>
      <c r="Q29" s="61">
        <v>1.7999999999999999E-2</v>
      </c>
      <c r="R29" s="9">
        <f t="shared" si="4"/>
        <v>0.72</v>
      </c>
      <c r="S29" s="71"/>
    </row>
    <row r="30" spans="1:19" ht="15.75" thickBot="1" x14ac:dyDescent="0.3">
      <c r="A30" s="24">
        <v>28</v>
      </c>
      <c r="B30" s="133"/>
      <c r="C30" s="84" t="s">
        <v>99</v>
      </c>
      <c r="D30" s="28" t="s">
        <v>100</v>
      </c>
      <c r="E30" s="6" t="s">
        <v>46</v>
      </c>
      <c r="F30" s="6" t="s">
        <v>101</v>
      </c>
      <c r="G30" s="6" t="s">
        <v>192</v>
      </c>
      <c r="H30" s="6" t="s">
        <v>243</v>
      </c>
      <c r="I30" s="6" t="s">
        <v>277</v>
      </c>
      <c r="J30" s="6" t="s">
        <v>98</v>
      </c>
      <c r="K30" s="6">
        <v>100</v>
      </c>
      <c r="L30" s="7">
        <v>1</v>
      </c>
      <c r="M30" s="5">
        <f t="shared" si="0"/>
        <v>25</v>
      </c>
      <c r="N30" s="11" t="s">
        <v>216</v>
      </c>
      <c r="O30" s="4">
        <v>1.1999999999999999E-3</v>
      </c>
      <c r="P30" s="9">
        <f t="shared" si="3"/>
        <v>0.12</v>
      </c>
      <c r="Q30" s="9">
        <v>1.1999999999999999E-3</v>
      </c>
      <c r="R30" s="9">
        <f t="shared" si="4"/>
        <v>0.12</v>
      </c>
      <c r="S30" s="68"/>
    </row>
    <row r="31" spans="1:19" ht="15.75" thickBot="1" x14ac:dyDescent="0.3">
      <c r="A31" s="24">
        <v>29</v>
      </c>
      <c r="B31" s="133"/>
      <c r="C31" s="84" t="s">
        <v>103</v>
      </c>
      <c r="D31" s="28" t="s">
        <v>104</v>
      </c>
      <c r="E31" s="6" t="s">
        <v>46</v>
      </c>
      <c r="F31" s="6" t="s">
        <v>105</v>
      </c>
      <c r="G31" s="6" t="s">
        <v>192</v>
      </c>
      <c r="H31" s="6" t="s">
        <v>244</v>
      </c>
      <c r="I31" s="6" t="s">
        <v>270</v>
      </c>
      <c r="J31" s="6" t="s">
        <v>102</v>
      </c>
      <c r="K31" s="6">
        <v>100</v>
      </c>
      <c r="L31" s="7">
        <v>4</v>
      </c>
      <c r="M31" s="5">
        <f t="shared" si="0"/>
        <v>100</v>
      </c>
      <c r="N31" s="11" t="s">
        <v>216</v>
      </c>
      <c r="O31" s="8">
        <v>1.4E-3</v>
      </c>
      <c r="P31" s="9">
        <f t="shared" si="3"/>
        <v>0.13999999999999999</v>
      </c>
      <c r="Q31" s="9">
        <v>1.4E-3</v>
      </c>
      <c r="R31" s="9">
        <f t="shared" si="4"/>
        <v>0.13999999999999999</v>
      </c>
      <c r="S31" s="68"/>
    </row>
    <row r="32" spans="1:19" ht="26.25" thickBot="1" x14ac:dyDescent="0.3">
      <c r="A32" s="24">
        <v>30</v>
      </c>
      <c r="B32" s="133"/>
      <c r="C32" s="84" t="s">
        <v>301</v>
      </c>
      <c r="D32" s="28" t="s">
        <v>107</v>
      </c>
      <c r="E32" s="6" t="s">
        <v>108</v>
      </c>
      <c r="F32" s="6" t="s">
        <v>109</v>
      </c>
      <c r="G32" s="6" t="s">
        <v>191</v>
      </c>
      <c r="H32" s="6" t="s">
        <v>270</v>
      </c>
      <c r="I32" s="6" t="s">
        <v>270</v>
      </c>
      <c r="J32" s="6" t="s">
        <v>106</v>
      </c>
      <c r="K32" s="6">
        <v>100</v>
      </c>
      <c r="L32" s="7">
        <v>4</v>
      </c>
      <c r="M32" s="5">
        <f t="shared" si="0"/>
        <v>100</v>
      </c>
      <c r="N32" s="11" t="s">
        <v>334</v>
      </c>
      <c r="O32" s="8">
        <v>0.1</v>
      </c>
      <c r="P32" s="9">
        <f t="shared" si="3"/>
        <v>10</v>
      </c>
      <c r="Q32" s="9">
        <v>0.1</v>
      </c>
      <c r="R32" s="9">
        <f t="shared" si="4"/>
        <v>10</v>
      </c>
      <c r="S32" s="68"/>
    </row>
    <row r="33" spans="1:19" ht="15.75" thickBot="1" x14ac:dyDescent="0.3">
      <c r="A33" s="24">
        <v>31</v>
      </c>
      <c r="B33" s="133"/>
      <c r="C33" s="84" t="s">
        <v>111</v>
      </c>
      <c r="D33" s="28" t="s">
        <v>112</v>
      </c>
      <c r="E33" s="6" t="s">
        <v>46</v>
      </c>
      <c r="F33" s="6" t="s">
        <v>113</v>
      </c>
      <c r="G33" s="6" t="s">
        <v>192</v>
      </c>
      <c r="H33" s="6" t="s">
        <v>245</v>
      </c>
      <c r="I33" s="6" t="s">
        <v>270</v>
      </c>
      <c r="J33" s="6" t="s">
        <v>110</v>
      </c>
      <c r="K33" s="6">
        <v>200</v>
      </c>
      <c r="L33" s="7">
        <v>8</v>
      </c>
      <c r="M33" s="5">
        <f t="shared" si="0"/>
        <v>200</v>
      </c>
      <c r="N33" s="60" t="s">
        <v>216</v>
      </c>
      <c r="O33" s="8">
        <v>1.6999999999999999E-3</v>
      </c>
      <c r="P33" s="9">
        <f t="shared" si="3"/>
        <v>0.33999999999999997</v>
      </c>
      <c r="Q33" s="9">
        <v>1.6999999999999999E-3</v>
      </c>
      <c r="R33" s="9">
        <f t="shared" si="4"/>
        <v>0.33999999999999997</v>
      </c>
      <c r="S33" s="68"/>
    </row>
    <row r="34" spans="1:19" ht="15.75" thickBot="1" x14ac:dyDescent="0.3">
      <c r="A34" s="24">
        <v>32</v>
      </c>
      <c r="B34" s="133"/>
      <c r="C34" s="84" t="s">
        <v>115</v>
      </c>
      <c r="D34" s="28" t="s">
        <v>116</v>
      </c>
      <c r="E34" s="6" t="s">
        <v>46</v>
      </c>
      <c r="F34" s="6" t="s">
        <v>117</v>
      </c>
      <c r="G34" s="6" t="s">
        <v>302</v>
      </c>
      <c r="H34" s="6" t="s">
        <v>246</v>
      </c>
      <c r="I34" s="6" t="s">
        <v>270</v>
      </c>
      <c r="J34" s="6" t="s">
        <v>114</v>
      </c>
      <c r="K34" s="6">
        <v>50</v>
      </c>
      <c r="L34" s="7">
        <v>1</v>
      </c>
      <c r="M34" s="5">
        <f t="shared" si="0"/>
        <v>25</v>
      </c>
      <c r="N34" s="11" t="s">
        <v>216</v>
      </c>
      <c r="O34" s="8">
        <v>8.3999999999999995E-3</v>
      </c>
      <c r="P34" s="9">
        <f t="shared" si="3"/>
        <v>0.42</v>
      </c>
      <c r="Q34" s="9">
        <v>8.3999999999999995E-3</v>
      </c>
      <c r="R34" s="9">
        <f t="shared" si="4"/>
        <v>0.42</v>
      </c>
      <c r="S34" s="68"/>
    </row>
    <row r="35" spans="1:19" ht="15.75" thickBot="1" x14ac:dyDescent="0.3">
      <c r="A35" s="24">
        <v>33</v>
      </c>
      <c r="B35" s="133"/>
      <c r="C35" s="84" t="s">
        <v>119</v>
      </c>
      <c r="D35" s="28" t="s">
        <v>120</v>
      </c>
      <c r="E35" s="6" t="s">
        <v>46</v>
      </c>
      <c r="F35" s="6" t="s">
        <v>121</v>
      </c>
      <c r="G35" s="6" t="s">
        <v>192</v>
      </c>
      <c r="H35" s="6" t="s">
        <v>247</v>
      </c>
      <c r="I35" s="6" t="s">
        <v>270</v>
      </c>
      <c r="J35" s="6" t="s">
        <v>118</v>
      </c>
      <c r="K35" s="6">
        <v>100</v>
      </c>
      <c r="L35" s="7">
        <v>1</v>
      </c>
      <c r="M35" s="5">
        <f t="shared" si="0"/>
        <v>25</v>
      </c>
      <c r="N35" s="11" t="s">
        <v>216</v>
      </c>
      <c r="O35" s="8">
        <v>1.5E-3</v>
      </c>
      <c r="P35" s="9">
        <f t="shared" si="3"/>
        <v>0.15</v>
      </c>
      <c r="Q35" s="9">
        <v>1.5E-3</v>
      </c>
      <c r="R35" s="9">
        <f t="shared" si="4"/>
        <v>0.15</v>
      </c>
      <c r="S35" s="68"/>
    </row>
    <row r="36" spans="1:19" ht="15.75" thickBot="1" x14ac:dyDescent="0.3">
      <c r="A36" s="24">
        <v>34</v>
      </c>
      <c r="B36" s="133"/>
      <c r="C36" s="84" t="s">
        <v>123</v>
      </c>
      <c r="D36" s="28" t="s">
        <v>124</v>
      </c>
      <c r="E36" s="6" t="s">
        <v>46</v>
      </c>
      <c r="F36" s="6" t="s">
        <v>125</v>
      </c>
      <c r="G36" s="6" t="s">
        <v>302</v>
      </c>
      <c r="H36" s="6" t="s">
        <v>335</v>
      </c>
      <c r="I36" s="6" t="s">
        <v>270</v>
      </c>
      <c r="J36" s="6" t="s">
        <v>122</v>
      </c>
      <c r="K36" s="6">
        <v>50</v>
      </c>
      <c r="L36" s="7">
        <v>1</v>
      </c>
      <c r="M36" s="5">
        <f t="shared" si="0"/>
        <v>25</v>
      </c>
      <c r="N36" s="11" t="s">
        <v>216</v>
      </c>
      <c r="O36" s="8">
        <v>1.4E-2</v>
      </c>
      <c r="P36" s="9">
        <f t="shared" si="3"/>
        <v>0.70000000000000007</v>
      </c>
      <c r="Q36" s="9">
        <v>1.4E-2</v>
      </c>
      <c r="R36" s="9">
        <f t="shared" si="4"/>
        <v>0.70000000000000007</v>
      </c>
      <c r="S36" s="68"/>
    </row>
    <row r="37" spans="1:19" ht="15.75" thickBot="1" x14ac:dyDescent="0.3">
      <c r="A37" s="24">
        <v>35</v>
      </c>
      <c r="B37" s="133"/>
      <c r="C37" s="84" t="s">
        <v>127</v>
      </c>
      <c r="D37" s="28" t="s">
        <v>128</v>
      </c>
      <c r="E37" s="6" t="s">
        <v>46</v>
      </c>
      <c r="F37" s="6" t="s">
        <v>129</v>
      </c>
      <c r="G37" s="6" t="s">
        <v>192</v>
      </c>
      <c r="H37" s="6" t="s">
        <v>248</v>
      </c>
      <c r="I37" s="6" t="s">
        <v>270</v>
      </c>
      <c r="J37" s="6" t="s">
        <v>126</v>
      </c>
      <c r="K37" s="6">
        <v>100</v>
      </c>
      <c r="L37" s="7">
        <v>1</v>
      </c>
      <c r="M37" s="5">
        <f t="shared" si="0"/>
        <v>25</v>
      </c>
      <c r="N37" s="11" t="s">
        <v>216</v>
      </c>
      <c r="O37" s="8">
        <v>1.2999999999999999E-3</v>
      </c>
      <c r="P37" s="9">
        <f t="shared" si="3"/>
        <v>0.13</v>
      </c>
      <c r="Q37" s="9">
        <v>1.2999999999999999E-3</v>
      </c>
      <c r="R37" s="9">
        <f t="shared" si="4"/>
        <v>0.13</v>
      </c>
      <c r="S37" s="68"/>
    </row>
    <row r="38" spans="1:19" ht="15.75" thickBot="1" x14ac:dyDescent="0.3">
      <c r="A38" s="24">
        <v>36</v>
      </c>
      <c r="B38" s="133"/>
      <c r="C38" s="84" t="s">
        <v>131</v>
      </c>
      <c r="D38" s="28" t="s">
        <v>132</v>
      </c>
      <c r="E38" s="6" t="s">
        <v>46</v>
      </c>
      <c r="F38" s="6" t="s">
        <v>133</v>
      </c>
      <c r="G38" s="6" t="s">
        <v>302</v>
      </c>
      <c r="H38" s="6" t="s">
        <v>249</v>
      </c>
      <c r="I38" s="6" t="s">
        <v>270</v>
      </c>
      <c r="J38" s="6" t="s">
        <v>130</v>
      </c>
      <c r="K38" s="6">
        <v>50</v>
      </c>
      <c r="L38" s="7">
        <v>1</v>
      </c>
      <c r="M38" s="5">
        <f t="shared" si="0"/>
        <v>25</v>
      </c>
      <c r="N38" s="11" t="s">
        <v>216</v>
      </c>
      <c r="O38" s="8">
        <v>8.6E-3</v>
      </c>
      <c r="P38" s="9">
        <f t="shared" si="3"/>
        <v>0.43</v>
      </c>
      <c r="Q38" s="9">
        <v>8.6E-3</v>
      </c>
      <c r="R38" s="9">
        <f t="shared" si="4"/>
        <v>0.43</v>
      </c>
      <c r="S38" s="68"/>
    </row>
    <row r="39" spans="1:19" ht="15.75" thickBot="1" x14ac:dyDescent="0.3">
      <c r="A39" s="24">
        <v>37</v>
      </c>
      <c r="B39" s="133"/>
      <c r="C39" s="84" t="s">
        <v>135</v>
      </c>
      <c r="D39" s="28" t="s">
        <v>136</v>
      </c>
      <c r="E39" s="6" t="s">
        <v>46</v>
      </c>
      <c r="F39" s="6" t="s">
        <v>137</v>
      </c>
      <c r="G39" s="6" t="s">
        <v>192</v>
      </c>
      <c r="H39" s="6" t="s">
        <v>250</v>
      </c>
      <c r="I39" s="6" t="s">
        <v>270</v>
      </c>
      <c r="J39" s="6" t="s">
        <v>134</v>
      </c>
      <c r="K39" s="6">
        <v>100</v>
      </c>
      <c r="L39" s="7">
        <v>1</v>
      </c>
      <c r="M39" s="5">
        <f t="shared" si="0"/>
        <v>25</v>
      </c>
      <c r="N39" s="11" t="s">
        <v>216</v>
      </c>
      <c r="O39" s="8">
        <v>2.2000000000000001E-3</v>
      </c>
      <c r="P39" s="9">
        <f t="shared" si="3"/>
        <v>0.22</v>
      </c>
      <c r="Q39" s="9">
        <v>2.2000000000000001E-3</v>
      </c>
      <c r="R39" s="9">
        <f t="shared" si="4"/>
        <v>0.22</v>
      </c>
      <c r="S39" s="68"/>
    </row>
    <row r="40" spans="1:19" ht="15.75" thickBot="1" x14ac:dyDescent="0.3">
      <c r="A40" s="24">
        <v>38</v>
      </c>
      <c r="B40" s="133"/>
      <c r="C40" s="84" t="s">
        <v>139</v>
      </c>
      <c r="D40" s="28" t="s">
        <v>140</v>
      </c>
      <c r="E40" s="6" t="s">
        <v>46</v>
      </c>
      <c r="F40" s="6" t="s">
        <v>141</v>
      </c>
      <c r="G40" s="6" t="s">
        <v>192</v>
      </c>
      <c r="H40" s="6" t="s">
        <v>251</v>
      </c>
      <c r="I40" s="6" t="s">
        <v>270</v>
      </c>
      <c r="J40" s="6" t="s">
        <v>138</v>
      </c>
      <c r="K40" s="6">
        <v>100</v>
      </c>
      <c r="L40" s="7">
        <v>1</v>
      </c>
      <c r="M40" s="5">
        <f t="shared" si="0"/>
        <v>25</v>
      </c>
      <c r="N40" s="11" t="s">
        <v>216</v>
      </c>
      <c r="O40" s="8">
        <v>1.6000000000000001E-3</v>
      </c>
      <c r="P40" s="9">
        <f t="shared" si="3"/>
        <v>0.16</v>
      </c>
      <c r="Q40" s="9">
        <v>1.6000000000000001E-3</v>
      </c>
      <c r="R40" s="9">
        <f t="shared" si="4"/>
        <v>0.16</v>
      </c>
      <c r="S40" s="68"/>
    </row>
    <row r="41" spans="1:19" ht="15.75" thickBot="1" x14ac:dyDescent="0.3">
      <c r="A41" s="24">
        <v>39</v>
      </c>
      <c r="B41" s="134"/>
      <c r="C41" s="86" t="s">
        <v>303</v>
      </c>
      <c r="D41" s="49" t="s">
        <v>304</v>
      </c>
      <c r="E41" s="30" t="s">
        <v>46</v>
      </c>
      <c r="F41" s="30" t="s">
        <v>305</v>
      </c>
      <c r="G41" s="30" t="s">
        <v>192</v>
      </c>
      <c r="H41" s="30" t="s">
        <v>326</v>
      </c>
      <c r="I41" s="30" t="s">
        <v>270</v>
      </c>
      <c r="J41" s="30" t="s">
        <v>307</v>
      </c>
      <c r="K41" s="30">
        <v>100</v>
      </c>
      <c r="L41" s="50">
        <v>4</v>
      </c>
      <c r="M41" s="79">
        <f t="shared" si="0"/>
        <v>100</v>
      </c>
      <c r="N41" s="51" t="s">
        <v>216</v>
      </c>
      <c r="O41" s="80">
        <v>1E-3</v>
      </c>
      <c r="P41" s="53">
        <f t="shared" si="3"/>
        <v>0.1</v>
      </c>
      <c r="Q41" s="53">
        <v>1E-3</v>
      </c>
      <c r="R41" s="53">
        <f t="shared" si="4"/>
        <v>0.1</v>
      </c>
      <c r="S41" s="81"/>
    </row>
    <row r="42" spans="1:19" ht="26.25" thickBot="1" x14ac:dyDescent="0.3">
      <c r="A42" s="24">
        <v>40</v>
      </c>
      <c r="B42" s="133" t="s">
        <v>188</v>
      </c>
      <c r="C42" s="87" t="s">
        <v>145</v>
      </c>
      <c r="D42" s="31" t="s">
        <v>146</v>
      </c>
      <c r="E42" s="17" t="s">
        <v>261</v>
      </c>
      <c r="F42" s="17" t="s">
        <v>144</v>
      </c>
      <c r="G42" s="17" t="s">
        <v>270</v>
      </c>
      <c r="H42" s="17" t="s">
        <v>270</v>
      </c>
      <c r="I42" s="17" t="s">
        <v>270</v>
      </c>
      <c r="J42" s="17" t="s">
        <v>270</v>
      </c>
      <c r="K42" s="17">
        <v>50</v>
      </c>
      <c r="L42" s="19">
        <v>1</v>
      </c>
      <c r="M42" s="20">
        <f t="shared" si="0"/>
        <v>25</v>
      </c>
      <c r="N42" s="21" t="s">
        <v>193</v>
      </c>
      <c r="O42" s="22">
        <v>2.5499999999999998</v>
      </c>
      <c r="P42" s="23">
        <f t="shared" ref="P42:P53" si="5">O42*L42</f>
        <v>2.5499999999999998</v>
      </c>
      <c r="Q42" s="23">
        <v>2.5499999999999998</v>
      </c>
      <c r="R42" s="23">
        <v>2.5499999999999998</v>
      </c>
      <c r="S42" s="67"/>
    </row>
    <row r="43" spans="1:19" ht="15.75" thickBot="1" x14ac:dyDescent="0.3">
      <c r="A43" s="24">
        <v>41</v>
      </c>
      <c r="B43" s="133"/>
      <c r="C43" s="92" t="s">
        <v>148</v>
      </c>
      <c r="D43" s="124" t="s">
        <v>149</v>
      </c>
      <c r="E43" s="32" t="s">
        <v>261</v>
      </c>
      <c r="F43" s="32" t="s">
        <v>147</v>
      </c>
      <c r="G43" s="40" t="s">
        <v>253</v>
      </c>
      <c r="H43" s="40" t="s">
        <v>252</v>
      </c>
      <c r="I43" s="32" t="s">
        <v>270</v>
      </c>
      <c r="J43" s="32" t="s">
        <v>270</v>
      </c>
      <c r="K43" s="32">
        <v>50</v>
      </c>
      <c r="L43" s="34">
        <v>2</v>
      </c>
      <c r="M43" s="40">
        <f t="shared" si="0"/>
        <v>50</v>
      </c>
      <c r="N43" s="36" t="s">
        <v>216</v>
      </c>
      <c r="O43" s="37">
        <v>0.28449999999999998</v>
      </c>
      <c r="P43" s="38">
        <f t="shared" si="5"/>
        <v>0.56899999999999995</v>
      </c>
      <c r="Q43" s="38">
        <v>0.19070000000000001</v>
      </c>
      <c r="R43" s="38">
        <f t="shared" si="4"/>
        <v>9.5350000000000001</v>
      </c>
      <c r="S43" s="70"/>
    </row>
    <row r="44" spans="1:19" ht="15.75" thickBot="1" x14ac:dyDescent="0.3">
      <c r="A44" s="24">
        <v>42</v>
      </c>
      <c r="B44" s="132" t="s">
        <v>189</v>
      </c>
      <c r="C44" s="83" t="s">
        <v>151</v>
      </c>
      <c r="D44" s="42" t="s">
        <v>152</v>
      </c>
      <c r="E44" s="29" t="s">
        <v>153</v>
      </c>
      <c r="F44" s="29" t="s">
        <v>150</v>
      </c>
      <c r="G44" s="45" t="s">
        <v>194</v>
      </c>
      <c r="H44" s="45" t="s">
        <v>254</v>
      </c>
      <c r="I44" s="29" t="s">
        <v>270</v>
      </c>
      <c r="J44" s="29" t="s">
        <v>270</v>
      </c>
      <c r="K44" s="29">
        <v>25</v>
      </c>
      <c r="L44" s="44">
        <v>1</v>
      </c>
      <c r="M44" s="45">
        <f t="shared" si="0"/>
        <v>25</v>
      </c>
      <c r="N44" s="46" t="s">
        <v>216</v>
      </c>
      <c r="O44" s="58">
        <v>0.20369999999999999</v>
      </c>
      <c r="P44" s="48">
        <f t="shared" si="5"/>
        <v>0.20369999999999999</v>
      </c>
      <c r="Q44" s="48">
        <v>0.20369999999999999</v>
      </c>
      <c r="R44" s="48">
        <f t="shared" si="4"/>
        <v>5.0924999999999994</v>
      </c>
      <c r="S44" s="114"/>
    </row>
    <row r="45" spans="1:19" ht="15.75" thickBot="1" x14ac:dyDescent="0.3">
      <c r="A45" s="24">
        <v>43</v>
      </c>
      <c r="B45" s="133"/>
      <c r="C45" s="84" t="s">
        <v>155</v>
      </c>
      <c r="D45" s="28" t="s">
        <v>156</v>
      </c>
      <c r="E45" s="6" t="s">
        <v>157</v>
      </c>
      <c r="F45" s="6" t="s">
        <v>154</v>
      </c>
      <c r="G45" s="5" t="s">
        <v>255</v>
      </c>
      <c r="H45" s="5" t="s">
        <v>256</v>
      </c>
      <c r="I45" s="6" t="s">
        <v>270</v>
      </c>
      <c r="J45" s="6" t="s">
        <v>270</v>
      </c>
      <c r="K45" s="6">
        <v>25</v>
      </c>
      <c r="L45" s="7">
        <v>1</v>
      </c>
      <c r="M45" s="5">
        <f t="shared" si="0"/>
        <v>25</v>
      </c>
      <c r="N45" s="11" t="s">
        <v>216</v>
      </c>
      <c r="O45" s="8">
        <v>0.32929999999999998</v>
      </c>
      <c r="P45" s="9">
        <f t="shared" si="5"/>
        <v>0.32929999999999998</v>
      </c>
      <c r="Q45" s="9">
        <v>0.32929999999999998</v>
      </c>
      <c r="R45" s="9">
        <f t="shared" si="4"/>
        <v>8.2324999999999999</v>
      </c>
      <c r="S45" s="68"/>
    </row>
    <row r="46" spans="1:19" ht="26.25" thickBot="1" x14ac:dyDescent="0.3">
      <c r="A46" s="24">
        <v>44</v>
      </c>
      <c r="B46" s="133"/>
      <c r="C46" s="84" t="s">
        <v>308</v>
      </c>
      <c r="D46" s="28" t="s">
        <v>158</v>
      </c>
      <c r="E46" s="6" t="s">
        <v>309</v>
      </c>
      <c r="F46" s="6" t="s">
        <v>310</v>
      </c>
      <c r="G46" s="5" t="s">
        <v>195</v>
      </c>
      <c r="H46" s="5" t="s">
        <v>327</v>
      </c>
      <c r="I46" s="6" t="s">
        <v>270</v>
      </c>
      <c r="J46" s="6" t="s">
        <v>270</v>
      </c>
      <c r="K46" s="6">
        <v>25</v>
      </c>
      <c r="L46" s="7">
        <v>1</v>
      </c>
      <c r="M46" s="5">
        <f t="shared" si="0"/>
        <v>25</v>
      </c>
      <c r="N46" s="11" t="s">
        <v>216</v>
      </c>
      <c r="O46" s="8">
        <v>0.39750000000000002</v>
      </c>
      <c r="P46" s="9">
        <f t="shared" si="5"/>
        <v>0.39750000000000002</v>
      </c>
      <c r="Q46" s="9">
        <v>0.39750000000000002</v>
      </c>
      <c r="R46" s="9">
        <f t="shared" si="4"/>
        <v>9.9375</v>
      </c>
      <c r="S46" s="68"/>
    </row>
    <row r="47" spans="1:19" ht="15.75" thickBot="1" x14ac:dyDescent="0.3">
      <c r="A47" s="24">
        <v>45</v>
      </c>
      <c r="B47" s="133"/>
      <c r="C47" s="84" t="s">
        <v>312</v>
      </c>
      <c r="D47" s="28" t="s">
        <v>159</v>
      </c>
      <c r="E47" s="6" t="s">
        <v>309</v>
      </c>
      <c r="F47" s="6" t="s">
        <v>311</v>
      </c>
      <c r="G47" s="5" t="s">
        <v>328</v>
      </c>
      <c r="H47" s="5" t="s">
        <v>329</v>
      </c>
      <c r="I47" s="6" t="s">
        <v>270</v>
      </c>
      <c r="J47" s="6" t="s">
        <v>270</v>
      </c>
      <c r="K47" s="6">
        <v>25</v>
      </c>
      <c r="L47" s="7">
        <v>1</v>
      </c>
      <c r="M47" s="5">
        <f t="shared" si="0"/>
        <v>25</v>
      </c>
      <c r="N47" s="11" t="s">
        <v>216</v>
      </c>
      <c r="O47" s="8">
        <v>0.50860000000000005</v>
      </c>
      <c r="P47" s="9">
        <f t="shared" si="5"/>
        <v>0.50860000000000005</v>
      </c>
      <c r="Q47" s="9">
        <v>0.40760000000000002</v>
      </c>
      <c r="R47" s="9">
        <f t="shared" si="4"/>
        <v>10.190000000000001</v>
      </c>
      <c r="S47" s="68"/>
    </row>
    <row r="48" spans="1:19" ht="15.75" thickBot="1" x14ac:dyDescent="0.3">
      <c r="A48" s="24">
        <v>46</v>
      </c>
      <c r="B48" s="133"/>
      <c r="C48" s="84" t="s">
        <v>161</v>
      </c>
      <c r="D48" s="28" t="s">
        <v>162</v>
      </c>
      <c r="E48" s="6" t="s">
        <v>163</v>
      </c>
      <c r="F48" s="6" t="s">
        <v>160</v>
      </c>
      <c r="G48" s="5" t="s">
        <v>195</v>
      </c>
      <c r="H48" s="65" t="s">
        <v>271</v>
      </c>
      <c r="I48" s="6" t="s">
        <v>270</v>
      </c>
      <c r="J48" s="6" t="s">
        <v>270</v>
      </c>
      <c r="K48" s="6">
        <v>25</v>
      </c>
      <c r="L48" s="7">
        <v>1</v>
      </c>
      <c r="M48" s="5">
        <f t="shared" si="0"/>
        <v>25</v>
      </c>
      <c r="N48" s="11" t="s">
        <v>234</v>
      </c>
      <c r="O48" s="8">
        <v>0.16039999999999999</v>
      </c>
      <c r="P48" s="9">
        <f t="shared" si="5"/>
        <v>0.16039999999999999</v>
      </c>
      <c r="Q48" s="9">
        <v>0.16039999999999999</v>
      </c>
      <c r="R48" s="9">
        <f t="shared" si="4"/>
        <v>4.01</v>
      </c>
      <c r="S48" s="68"/>
    </row>
    <row r="49" spans="1:19" ht="15.75" thickBot="1" x14ac:dyDescent="0.3">
      <c r="A49" s="24">
        <v>47</v>
      </c>
      <c r="B49" s="133"/>
      <c r="C49" s="84" t="s">
        <v>165</v>
      </c>
      <c r="D49" s="28" t="s">
        <v>166</v>
      </c>
      <c r="E49" s="6" t="s">
        <v>167</v>
      </c>
      <c r="F49" s="6" t="s">
        <v>164</v>
      </c>
      <c r="G49" s="5" t="s">
        <v>330</v>
      </c>
      <c r="H49" s="65" t="s">
        <v>271</v>
      </c>
      <c r="I49" s="65" t="s">
        <v>270</v>
      </c>
      <c r="J49" s="6" t="s">
        <v>271</v>
      </c>
      <c r="K49" s="6">
        <v>30</v>
      </c>
      <c r="L49" s="7">
        <v>1</v>
      </c>
      <c r="M49" s="5">
        <f t="shared" si="0"/>
        <v>25</v>
      </c>
      <c r="N49" s="11" t="s">
        <v>193</v>
      </c>
      <c r="O49" s="8">
        <v>7.03</v>
      </c>
      <c r="P49" s="9">
        <f t="shared" si="5"/>
        <v>7.03</v>
      </c>
      <c r="Q49" s="9">
        <v>7.03</v>
      </c>
      <c r="R49" s="9">
        <f>Q49*K49</f>
        <v>210.9</v>
      </c>
      <c r="S49" s="68"/>
    </row>
    <row r="50" spans="1:19" ht="15.75" thickBot="1" x14ac:dyDescent="0.3">
      <c r="A50" s="24">
        <v>48</v>
      </c>
      <c r="B50" s="134"/>
      <c r="C50" s="86" t="s">
        <v>169</v>
      </c>
      <c r="D50" s="49" t="s">
        <v>170</v>
      </c>
      <c r="E50" s="30" t="s">
        <v>171</v>
      </c>
      <c r="F50" s="30" t="s">
        <v>168</v>
      </c>
      <c r="G50" s="79" t="s">
        <v>196</v>
      </c>
      <c r="H50" s="115" t="s">
        <v>271</v>
      </c>
      <c r="I50" s="115" t="s">
        <v>270</v>
      </c>
      <c r="J50" s="30" t="s">
        <v>271</v>
      </c>
      <c r="K50" s="30">
        <v>25</v>
      </c>
      <c r="L50" s="50">
        <v>1</v>
      </c>
      <c r="M50" s="79">
        <f t="shared" si="0"/>
        <v>25</v>
      </c>
      <c r="N50" s="51" t="s">
        <v>234</v>
      </c>
      <c r="O50" s="80">
        <v>1.1383000000000001</v>
      </c>
      <c r="P50" s="53">
        <f t="shared" si="5"/>
        <v>1.1383000000000001</v>
      </c>
      <c r="Q50" s="53">
        <v>1.1383000000000001</v>
      </c>
      <c r="R50" s="53">
        <f t="shared" si="4"/>
        <v>28.457500000000003</v>
      </c>
      <c r="S50" s="81"/>
    </row>
    <row r="51" spans="1:19" ht="15.75" thickBot="1" x14ac:dyDescent="0.3">
      <c r="A51" s="24">
        <v>49</v>
      </c>
      <c r="B51" s="133" t="s">
        <v>190</v>
      </c>
      <c r="C51" s="87" t="s">
        <v>59</v>
      </c>
      <c r="D51" s="18" t="s">
        <v>60</v>
      </c>
      <c r="E51" s="17" t="s">
        <v>261</v>
      </c>
      <c r="F51" s="17" t="s">
        <v>58</v>
      </c>
      <c r="G51" s="20" t="s">
        <v>257</v>
      </c>
      <c r="H51" s="20" t="s">
        <v>258</v>
      </c>
      <c r="I51" s="113" t="s">
        <v>270</v>
      </c>
      <c r="J51" s="17" t="s">
        <v>271</v>
      </c>
      <c r="K51" s="17">
        <v>25</v>
      </c>
      <c r="L51" s="19">
        <v>1</v>
      </c>
      <c r="M51" s="20">
        <f t="shared" si="0"/>
        <v>25</v>
      </c>
      <c r="N51" s="21" t="s">
        <v>216</v>
      </c>
      <c r="O51" s="22">
        <v>1.8448</v>
      </c>
      <c r="P51" s="23">
        <f t="shared" si="5"/>
        <v>1.8448</v>
      </c>
      <c r="Q51" s="23">
        <v>1.8448</v>
      </c>
      <c r="R51" s="23">
        <f t="shared" si="4"/>
        <v>46.12</v>
      </c>
      <c r="S51" s="67"/>
    </row>
    <row r="52" spans="1:19" s="62" customFormat="1" ht="15.75" thickBot="1" x14ac:dyDescent="0.3">
      <c r="A52" s="119">
        <v>50</v>
      </c>
      <c r="B52" s="133"/>
      <c r="C52" s="85" t="s">
        <v>62</v>
      </c>
      <c r="D52" s="16" t="s">
        <v>63</v>
      </c>
      <c r="E52" s="2" t="s">
        <v>261</v>
      </c>
      <c r="F52" s="2" t="s">
        <v>61</v>
      </c>
      <c r="G52" s="1" t="s">
        <v>197</v>
      </c>
      <c r="H52" s="1" t="s">
        <v>259</v>
      </c>
      <c r="I52" s="120" t="s">
        <v>270</v>
      </c>
      <c r="J52" s="2" t="s">
        <v>271</v>
      </c>
      <c r="K52" s="2">
        <v>50</v>
      </c>
      <c r="L52" s="3">
        <v>2</v>
      </c>
      <c r="M52" s="1">
        <f t="shared" si="0"/>
        <v>50</v>
      </c>
      <c r="N52" s="60" t="s">
        <v>234</v>
      </c>
      <c r="O52" s="4">
        <v>1.65</v>
      </c>
      <c r="P52" s="61">
        <f t="shared" si="5"/>
        <v>3.3</v>
      </c>
      <c r="Q52" s="61">
        <v>1.65</v>
      </c>
      <c r="R52" s="61">
        <f t="shared" si="4"/>
        <v>82.5</v>
      </c>
      <c r="S52" s="71"/>
    </row>
    <row r="53" spans="1:19" s="62" customFormat="1" ht="15.75" thickBot="1" x14ac:dyDescent="0.3">
      <c r="A53" s="119">
        <v>51</v>
      </c>
      <c r="B53" s="133"/>
      <c r="C53" s="85" t="s">
        <v>65</v>
      </c>
      <c r="D53" s="16" t="s">
        <v>66</v>
      </c>
      <c r="E53" s="2" t="s">
        <v>261</v>
      </c>
      <c r="F53" s="2" t="s">
        <v>64</v>
      </c>
      <c r="G53" s="1" t="s">
        <v>207</v>
      </c>
      <c r="H53" s="1"/>
      <c r="I53" s="1"/>
      <c r="J53" s="2"/>
      <c r="K53" s="2">
        <v>1</v>
      </c>
      <c r="L53" s="3">
        <v>1</v>
      </c>
      <c r="M53" s="1">
        <f t="shared" si="0"/>
        <v>25</v>
      </c>
      <c r="N53" s="60" t="s">
        <v>338</v>
      </c>
      <c r="O53" s="4">
        <v>1.69</v>
      </c>
      <c r="P53" s="61">
        <f t="shared" si="5"/>
        <v>1.69</v>
      </c>
      <c r="Q53" s="61">
        <v>1.69</v>
      </c>
      <c r="R53" s="61">
        <f t="shared" si="4"/>
        <v>1.69</v>
      </c>
      <c r="S53" s="71"/>
    </row>
    <row r="54" spans="1:19" ht="15.75" thickBot="1" x14ac:dyDescent="0.3">
      <c r="A54" s="24">
        <v>52</v>
      </c>
      <c r="B54" s="133"/>
      <c r="C54" s="84" t="s">
        <v>68</v>
      </c>
      <c r="D54" s="14" t="s">
        <v>69</v>
      </c>
      <c r="E54" s="6" t="s">
        <v>261</v>
      </c>
      <c r="F54" s="6" t="s">
        <v>67</v>
      </c>
      <c r="G54" s="5" t="s">
        <v>208</v>
      </c>
      <c r="H54" s="65" t="s">
        <v>270</v>
      </c>
      <c r="I54" s="6" t="s">
        <v>271</v>
      </c>
      <c r="J54" s="6" t="s">
        <v>271</v>
      </c>
      <c r="K54" s="6">
        <v>30</v>
      </c>
      <c r="L54" s="7">
        <v>1</v>
      </c>
      <c r="M54" s="5">
        <f t="shared" si="0"/>
        <v>25</v>
      </c>
      <c r="N54" s="11" t="s">
        <v>193</v>
      </c>
      <c r="O54" s="8">
        <v>0.52100000000000002</v>
      </c>
      <c r="P54" s="9">
        <f>O54*K54</f>
        <v>15.63</v>
      </c>
      <c r="Q54" s="9">
        <v>0.52100000000000002</v>
      </c>
      <c r="R54" s="9">
        <f t="shared" si="4"/>
        <v>15.63</v>
      </c>
      <c r="S54" s="68"/>
    </row>
    <row r="55" spans="1:19" s="62" customFormat="1" ht="15.75" thickBot="1" x14ac:dyDescent="0.3">
      <c r="A55" s="119">
        <v>53</v>
      </c>
      <c r="B55" s="133"/>
      <c r="C55" s="85" t="s">
        <v>81</v>
      </c>
      <c r="D55" s="16" t="s">
        <v>82</v>
      </c>
      <c r="E55" s="2" t="s">
        <v>261</v>
      </c>
      <c r="F55" s="2" t="s">
        <v>80</v>
      </c>
      <c r="G55" s="1" t="s">
        <v>209</v>
      </c>
      <c r="H55" s="120" t="s">
        <v>270</v>
      </c>
      <c r="I55" s="2" t="s">
        <v>271</v>
      </c>
      <c r="J55" s="2" t="s">
        <v>271</v>
      </c>
      <c r="K55" s="2">
        <v>50</v>
      </c>
      <c r="L55" s="3">
        <v>2</v>
      </c>
      <c r="M55" s="1">
        <f t="shared" si="0"/>
        <v>50</v>
      </c>
      <c r="N55" s="60" t="s">
        <v>260</v>
      </c>
      <c r="O55" s="4">
        <v>2.9399999999999999E-2</v>
      </c>
      <c r="P55" s="61">
        <f>O55*K55</f>
        <v>1.47</v>
      </c>
      <c r="Q55" s="61">
        <v>2.9399999999999999E-2</v>
      </c>
      <c r="R55" s="61">
        <f t="shared" si="4"/>
        <v>1.47</v>
      </c>
      <c r="S55" s="71"/>
    </row>
    <row r="56" spans="1:19" ht="15.75" thickBot="1" x14ac:dyDescent="0.3">
      <c r="A56" s="24">
        <v>54</v>
      </c>
      <c r="B56" s="133"/>
      <c r="C56" s="84" t="s">
        <v>86</v>
      </c>
      <c r="D56" s="14" t="s">
        <v>87</v>
      </c>
      <c r="E56" s="6" t="s">
        <v>88</v>
      </c>
      <c r="F56" s="6" t="s">
        <v>313</v>
      </c>
      <c r="G56" s="5" t="s">
        <v>210</v>
      </c>
      <c r="H56" s="65" t="s">
        <v>270</v>
      </c>
      <c r="I56" s="6" t="s">
        <v>271</v>
      </c>
      <c r="J56" s="6" t="s">
        <v>271</v>
      </c>
      <c r="K56" s="6">
        <v>50</v>
      </c>
      <c r="L56" s="7">
        <v>2</v>
      </c>
      <c r="M56" s="5">
        <f t="shared" si="0"/>
        <v>50</v>
      </c>
      <c r="N56" s="11" t="s">
        <v>193</v>
      </c>
      <c r="O56" s="8">
        <v>2.9000000000000001E-2</v>
      </c>
      <c r="P56" s="8">
        <f>O56*K56</f>
        <v>1.4500000000000002</v>
      </c>
      <c r="Q56" s="8">
        <v>2.9000000000000001E-2</v>
      </c>
      <c r="R56" s="9">
        <f t="shared" si="4"/>
        <v>1.4500000000000002</v>
      </c>
      <c r="S56" s="90"/>
    </row>
    <row r="57" spans="1:19" ht="15.75" thickBot="1" x14ac:dyDescent="0.3">
      <c r="A57" s="24">
        <v>55</v>
      </c>
      <c r="B57" s="133"/>
      <c r="C57" s="88" t="s">
        <v>83</v>
      </c>
      <c r="D57" s="12" t="s">
        <v>84</v>
      </c>
      <c r="E57" s="12" t="s">
        <v>85</v>
      </c>
      <c r="F57" s="12" t="s">
        <v>85</v>
      </c>
      <c r="G57" s="66" t="s">
        <v>270</v>
      </c>
      <c r="H57" s="66" t="s">
        <v>270</v>
      </c>
      <c r="I57" s="66" t="s">
        <v>270</v>
      </c>
      <c r="J57" s="12"/>
      <c r="K57" s="12" t="s">
        <v>333</v>
      </c>
      <c r="L57" s="13">
        <v>4</v>
      </c>
      <c r="M57" s="5">
        <f t="shared" si="0"/>
        <v>100</v>
      </c>
      <c r="N57" s="66" t="s">
        <v>270</v>
      </c>
      <c r="O57" s="66" t="s">
        <v>270</v>
      </c>
      <c r="P57" s="66" t="s">
        <v>270</v>
      </c>
      <c r="Q57" s="66" t="s">
        <v>270</v>
      </c>
      <c r="R57" s="66" t="s">
        <v>270</v>
      </c>
      <c r="S57" s="72" t="s">
        <v>332</v>
      </c>
    </row>
    <row r="58" spans="1:19" ht="15.75" thickBot="1" x14ac:dyDescent="0.3">
      <c r="A58" s="24">
        <v>56</v>
      </c>
      <c r="B58" s="134"/>
      <c r="C58" s="91" t="s">
        <v>143</v>
      </c>
      <c r="D58" s="73" t="s">
        <v>331</v>
      </c>
      <c r="E58" s="73" t="s">
        <v>142</v>
      </c>
      <c r="F58" s="73" t="s">
        <v>142</v>
      </c>
      <c r="G58" s="74" t="s">
        <v>270</v>
      </c>
      <c r="H58" s="74" t="s">
        <v>270</v>
      </c>
      <c r="I58" s="74" t="s">
        <v>270</v>
      </c>
      <c r="J58" s="73"/>
      <c r="K58" s="73" t="s">
        <v>333</v>
      </c>
      <c r="L58" s="75">
        <v>1</v>
      </c>
      <c r="M58" s="79">
        <f t="shared" si="0"/>
        <v>25</v>
      </c>
      <c r="N58" s="74" t="s">
        <v>270</v>
      </c>
      <c r="O58" s="74" t="s">
        <v>270</v>
      </c>
      <c r="P58" s="74" t="s">
        <v>270</v>
      </c>
      <c r="Q58" s="74" t="s">
        <v>270</v>
      </c>
      <c r="R58" s="74" t="s">
        <v>270</v>
      </c>
      <c r="S58" s="76" t="s">
        <v>332</v>
      </c>
    </row>
    <row r="59" spans="1:19" ht="19.5" thickBot="1" x14ac:dyDescent="0.35">
      <c r="C59" s="10"/>
      <c r="D59" s="10"/>
      <c r="E59" s="10"/>
      <c r="F59" s="10"/>
      <c r="G59" s="10"/>
      <c r="H59" s="10"/>
      <c r="I59" s="10"/>
      <c r="J59" s="10"/>
      <c r="K59" s="10"/>
      <c r="L59" s="127" t="s">
        <v>336</v>
      </c>
      <c r="M59" s="127"/>
      <c r="N59" s="127"/>
      <c r="O59" s="127"/>
      <c r="R59" s="116">
        <f>SUM(R3:R58)</f>
        <v>697.24850000000026</v>
      </c>
    </row>
    <row r="60" spans="1:19" ht="18.75" x14ac:dyDescent="0.3">
      <c r="L60" s="128" t="s">
        <v>337</v>
      </c>
      <c r="M60" s="128"/>
      <c r="N60" s="128"/>
      <c r="O60" s="128"/>
      <c r="P60" s="117">
        <f>SUM(P3:P59)</f>
        <v>93.719800000000006</v>
      </c>
      <c r="R60" s="118">
        <f>R59/25</f>
        <v>27.88994000000001</v>
      </c>
    </row>
  </sheetData>
  <mergeCells count="10">
    <mergeCell ref="L59:O59"/>
    <mergeCell ref="L60:O60"/>
    <mergeCell ref="A1:S1"/>
    <mergeCell ref="B3:B20"/>
    <mergeCell ref="B23:B24"/>
    <mergeCell ref="B21:B22"/>
    <mergeCell ref="B28:B41"/>
    <mergeCell ref="B42:B43"/>
    <mergeCell ref="B51:B58"/>
    <mergeCell ref="B44:B50"/>
  </mergeCells>
  <phoneticPr fontId="8" type="noConversion"/>
  <conditionalFormatting sqref="P3:P55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{8E373C51-26EE-4B24-86FA-8126BA64278B}</x14:id>
        </ext>
      </extLst>
    </cfRule>
  </conditionalFormatting>
  <conditionalFormatting sqref="Q3:R3 Q4:Q55 R4:R56">
    <cfRule type="dataBar" priority="2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{19B0CB15-0C97-4D9D-B36B-BDCECB480ACD}</x14:id>
        </ext>
      </extLst>
    </cfRule>
  </conditionalFormatting>
  <conditionalFormatting sqref="L3:M58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57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{78773F8D-2434-4BFD-A8D9-B64BEA7C557E}</x14:id>
        </ext>
      </extLst>
    </cfRule>
  </conditionalFormatting>
  <conditionalFormatting sqref="R57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{8C46412E-9870-436B-8E3D-966ADD5484DE}</x14:id>
        </ext>
      </extLst>
    </cfRule>
  </conditionalFormatting>
  <conditionalFormatting sqref="G57">
    <cfRule type="dataBar" priority="1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{98D21E3E-3A3E-4FCB-9E2E-91BDCE7E069B}</x14:id>
        </ext>
      </extLst>
    </cfRule>
  </conditionalFormatting>
  <conditionalFormatting sqref="H57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{0BC3CD0D-D51F-4CB9-B546-5ACE98FFCCE3}</x14:id>
        </ext>
      </extLst>
    </cfRule>
  </conditionalFormatting>
  <conditionalFormatting sqref="I5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{89E4F2F4-220D-473D-8223-4FABBB5C1412}</x14:id>
        </ext>
      </extLst>
    </cfRule>
  </conditionalFormatting>
  <conditionalFormatting sqref="G58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{A9A94FB7-C10E-473A-8F8C-71EB41F08F5F}</x14:id>
        </ext>
      </extLst>
    </cfRule>
  </conditionalFormatting>
  <conditionalFormatting sqref="H58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{88C357D8-EC03-419C-811F-7261AD4890CD}</x14:id>
        </ext>
      </extLst>
    </cfRule>
  </conditionalFormatting>
  <conditionalFormatting sqref="I58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{74D83E59-07CE-4367-A909-116D8B42F6CE}</x14:id>
        </ext>
      </extLst>
    </cfRule>
  </conditionalFormatting>
  <conditionalFormatting sqref="N57">
    <cfRule type="dataBar" priority="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{A8BC5808-6288-4A17-AD42-5A730C94A775}</x14:id>
        </ext>
      </extLst>
    </cfRule>
  </conditionalFormatting>
  <conditionalFormatting sqref="O57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{0C05CFDE-535F-4001-9CF7-5E8CC0C7FF2D}</x14:id>
        </ext>
      </extLst>
    </cfRule>
  </conditionalFormatting>
  <conditionalFormatting sqref="P57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{F1BB3774-647A-4DCD-8336-D3DC3CA8CE65}</x14:id>
        </ext>
      </extLst>
    </cfRule>
  </conditionalFormatting>
  <conditionalFormatting sqref="N58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{0BFC34A7-4429-4C10-A0EA-9B16464B6D21}</x14:id>
        </ext>
      </extLst>
    </cfRule>
  </conditionalFormatting>
  <conditionalFormatting sqref="O5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{58BBAE43-1CA5-4220-99DF-9288978A232D}</x14:id>
        </ext>
      </extLst>
    </cfRule>
  </conditionalFormatting>
  <conditionalFormatting sqref="P5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{C8BF3524-E8AC-4238-AD40-AAEB4E8AF341}</x14:id>
        </ext>
      </extLst>
    </cfRule>
  </conditionalFormatting>
  <conditionalFormatting sqref="Q58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{359C62ED-7025-4578-AC1D-F233D6CE6B25}</x14:id>
        </ext>
      </extLst>
    </cfRule>
  </conditionalFormatting>
  <conditionalFormatting sqref="R58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{E41794A0-60FF-4FD4-9806-206140CC64C1}</x14:id>
        </ext>
      </extLst>
    </cfRule>
  </conditionalFormatting>
  <conditionalFormatting sqref="P60:R60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{77379254-ED79-4BDB-8A26-003890832BDA}</x14:id>
        </ext>
      </extLst>
    </cfRule>
  </conditionalFormatting>
  <hyperlinks>
    <hyperlink ref="N3" r:id="rId1" xr:uid="{00000000-0004-0000-0000-000000000000}"/>
    <hyperlink ref="N4" r:id="rId2" xr:uid="{00000000-0004-0000-0000-000001000000}"/>
    <hyperlink ref="N5" r:id="rId3" xr:uid="{00000000-0004-0000-0000-000002000000}"/>
    <hyperlink ref="N6" r:id="rId4" xr:uid="{00000000-0004-0000-0000-000003000000}"/>
    <hyperlink ref="N7" r:id="rId5" xr:uid="{00000000-0004-0000-0000-000004000000}"/>
    <hyperlink ref="N8" r:id="rId6" xr:uid="{00000000-0004-0000-0000-000005000000}"/>
    <hyperlink ref="N9" r:id="rId7" xr:uid="{00000000-0004-0000-0000-000006000000}"/>
    <hyperlink ref="N12" r:id="rId8" xr:uid="{00000000-0004-0000-0000-000007000000}"/>
    <hyperlink ref="N13" r:id="rId9" xr:uid="{00000000-0004-0000-0000-000008000000}"/>
    <hyperlink ref="N15" r:id="rId10" xr:uid="{00000000-0004-0000-0000-000009000000}"/>
    <hyperlink ref="N16" r:id="rId11" xr:uid="{00000000-0004-0000-0000-00000A000000}"/>
    <hyperlink ref="N18" r:id="rId12" xr:uid="{00000000-0004-0000-0000-00000B000000}"/>
    <hyperlink ref="N19" r:id="rId13" xr:uid="{00000000-0004-0000-0000-00000C000000}"/>
    <hyperlink ref="N21" r:id="rId14" xr:uid="{00000000-0004-0000-0000-00000D000000}"/>
    <hyperlink ref="N22" r:id="rId15" xr:uid="{00000000-0004-0000-0000-00000E000000}"/>
    <hyperlink ref="N23" r:id="rId16" xr:uid="{00000000-0004-0000-0000-00000F000000}"/>
    <hyperlink ref="N24" r:id="rId17" xr:uid="{00000000-0004-0000-0000-000010000000}"/>
    <hyperlink ref="N25" r:id="rId18" xr:uid="{00000000-0004-0000-0000-000011000000}"/>
    <hyperlink ref="N26" r:id="rId19" xr:uid="{00000000-0004-0000-0000-000012000000}"/>
    <hyperlink ref="N43" r:id="rId20" xr:uid="{00000000-0004-0000-0000-000013000000}"/>
    <hyperlink ref="N44" r:id="rId21" xr:uid="{00000000-0004-0000-0000-000014000000}"/>
    <hyperlink ref="N45" r:id="rId22" xr:uid="{00000000-0004-0000-0000-000015000000}"/>
    <hyperlink ref="N50" r:id="rId23" xr:uid="{00000000-0004-0000-0000-000016000000}"/>
    <hyperlink ref="N51" r:id="rId24" xr:uid="{00000000-0004-0000-0000-000017000000}"/>
    <hyperlink ref="N55" r:id="rId25" display="LCSC" xr:uid="{00000000-0004-0000-0000-000018000000}"/>
    <hyperlink ref="N49" r:id="rId26" xr:uid="{00000000-0004-0000-0000-000019000000}"/>
    <hyperlink ref="N54" r:id="rId27" xr:uid="{00000000-0004-0000-0000-00001A000000}"/>
    <hyperlink ref="N42" r:id="rId28" xr:uid="{00000000-0004-0000-0000-00001B000000}"/>
    <hyperlink ref="N17" r:id="rId29" xr:uid="{00000000-0004-0000-0000-00001C000000}"/>
    <hyperlink ref="N10" r:id="rId30" xr:uid="{00000000-0004-0000-0000-00001D000000}"/>
    <hyperlink ref="N11" r:id="rId31" xr:uid="{00000000-0004-0000-0000-00001E000000}"/>
    <hyperlink ref="N14" r:id="rId32" xr:uid="{00000000-0004-0000-0000-00001F000000}"/>
    <hyperlink ref="N20" r:id="rId33" xr:uid="{00000000-0004-0000-0000-000020000000}"/>
    <hyperlink ref="N27" r:id="rId34" xr:uid="{00000000-0004-0000-0000-000021000000}"/>
    <hyperlink ref="N28" r:id="rId35" xr:uid="{00000000-0004-0000-0000-000022000000}"/>
    <hyperlink ref="N29" r:id="rId36" xr:uid="{00000000-0004-0000-0000-000023000000}"/>
    <hyperlink ref="N30" r:id="rId37" xr:uid="{00000000-0004-0000-0000-000024000000}"/>
    <hyperlink ref="N31" r:id="rId38" xr:uid="{00000000-0004-0000-0000-000025000000}"/>
    <hyperlink ref="N33" r:id="rId39" xr:uid="{00000000-0004-0000-0000-000026000000}"/>
    <hyperlink ref="N34" r:id="rId40" xr:uid="{00000000-0004-0000-0000-000027000000}"/>
    <hyperlink ref="N35" r:id="rId41" xr:uid="{00000000-0004-0000-0000-000028000000}"/>
    <hyperlink ref="N37" r:id="rId42" xr:uid="{00000000-0004-0000-0000-000029000000}"/>
    <hyperlink ref="N39" r:id="rId43" xr:uid="{00000000-0004-0000-0000-00002A000000}"/>
    <hyperlink ref="N40" r:id="rId44" xr:uid="{00000000-0004-0000-0000-00002B000000}"/>
    <hyperlink ref="N41" r:id="rId45" xr:uid="{00000000-0004-0000-0000-00002C000000}"/>
    <hyperlink ref="N46" r:id="rId46" xr:uid="{00000000-0004-0000-0000-00002D000000}"/>
    <hyperlink ref="N47" r:id="rId47" xr:uid="{00000000-0004-0000-0000-00002E000000}"/>
    <hyperlink ref="N48" r:id="rId48" xr:uid="{00000000-0004-0000-0000-00002F000000}"/>
    <hyperlink ref="N52" r:id="rId49" xr:uid="{00000000-0004-0000-0000-000030000000}"/>
    <hyperlink ref="N56" r:id="rId50" xr:uid="{00000000-0004-0000-0000-000031000000}"/>
    <hyperlink ref="N32" r:id="rId51" xr:uid="{00000000-0004-0000-0000-000032000000}"/>
    <hyperlink ref="N36" r:id="rId52" xr:uid="{00000000-0004-0000-0000-000033000000}"/>
    <hyperlink ref="N38" r:id="rId53" xr:uid="{00000000-0004-0000-0000-000034000000}"/>
  </hyperlinks>
  <pageMargins left="0.7" right="0.7" top="0.75" bottom="0.75" header="0.3" footer="0.3"/>
  <pageSetup orientation="portrait" r:id="rId54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E373C51-26EE-4B24-86FA-8126BA6427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P3:P55</xm:sqref>
        </x14:conditionalFormatting>
        <x14:conditionalFormatting xmlns:xm="http://schemas.microsoft.com/office/excel/2006/main">
          <x14:cfRule type="dataBar" id="{19B0CB15-0C97-4D9D-B36B-BDCECB480A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Q3:R3 Q4:Q55 R4:R56</xm:sqref>
        </x14:conditionalFormatting>
        <x14:conditionalFormatting xmlns:xm="http://schemas.microsoft.com/office/excel/2006/main">
          <x14:cfRule type="dataBar" id="{78773F8D-2434-4BFD-A8D9-B64BEA7C557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Q57</xm:sqref>
        </x14:conditionalFormatting>
        <x14:conditionalFormatting xmlns:xm="http://schemas.microsoft.com/office/excel/2006/main">
          <x14:cfRule type="dataBar" id="{8C46412E-9870-436B-8E3D-966ADD5484D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R57</xm:sqref>
        </x14:conditionalFormatting>
        <x14:conditionalFormatting xmlns:xm="http://schemas.microsoft.com/office/excel/2006/main">
          <x14:cfRule type="dataBar" id="{98D21E3E-3A3E-4FCB-9E2E-91BDCE7E06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G57</xm:sqref>
        </x14:conditionalFormatting>
        <x14:conditionalFormatting xmlns:xm="http://schemas.microsoft.com/office/excel/2006/main">
          <x14:cfRule type="dataBar" id="{0BC3CD0D-D51F-4CB9-B546-5ACE98FFCCE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H57</xm:sqref>
        </x14:conditionalFormatting>
        <x14:conditionalFormatting xmlns:xm="http://schemas.microsoft.com/office/excel/2006/main">
          <x14:cfRule type="dataBar" id="{89E4F2F4-220D-473D-8223-4FABBB5C1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I57</xm:sqref>
        </x14:conditionalFormatting>
        <x14:conditionalFormatting xmlns:xm="http://schemas.microsoft.com/office/excel/2006/main">
          <x14:cfRule type="dataBar" id="{A9A94FB7-C10E-473A-8F8C-71EB41F08F5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G58</xm:sqref>
        </x14:conditionalFormatting>
        <x14:conditionalFormatting xmlns:xm="http://schemas.microsoft.com/office/excel/2006/main">
          <x14:cfRule type="dataBar" id="{88C357D8-EC03-419C-811F-7261AD4890C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H58</xm:sqref>
        </x14:conditionalFormatting>
        <x14:conditionalFormatting xmlns:xm="http://schemas.microsoft.com/office/excel/2006/main">
          <x14:cfRule type="dataBar" id="{74D83E59-07CE-4367-A909-116D8B42F6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I58</xm:sqref>
        </x14:conditionalFormatting>
        <x14:conditionalFormatting xmlns:xm="http://schemas.microsoft.com/office/excel/2006/main">
          <x14:cfRule type="dataBar" id="{A8BC5808-6288-4A17-AD42-5A730C94A77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N57</xm:sqref>
        </x14:conditionalFormatting>
        <x14:conditionalFormatting xmlns:xm="http://schemas.microsoft.com/office/excel/2006/main">
          <x14:cfRule type="dataBar" id="{0C05CFDE-535F-4001-9CF7-5E8CC0C7FF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O57</xm:sqref>
        </x14:conditionalFormatting>
        <x14:conditionalFormatting xmlns:xm="http://schemas.microsoft.com/office/excel/2006/main">
          <x14:cfRule type="dataBar" id="{F1BB3774-647A-4DCD-8336-D3DC3CA8CE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P57</xm:sqref>
        </x14:conditionalFormatting>
        <x14:conditionalFormatting xmlns:xm="http://schemas.microsoft.com/office/excel/2006/main">
          <x14:cfRule type="dataBar" id="{0BFC34A7-4429-4C10-A0EA-9B16464B6D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N58</xm:sqref>
        </x14:conditionalFormatting>
        <x14:conditionalFormatting xmlns:xm="http://schemas.microsoft.com/office/excel/2006/main">
          <x14:cfRule type="dataBar" id="{58BBAE43-1CA5-4220-99DF-9288978A23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O58</xm:sqref>
        </x14:conditionalFormatting>
        <x14:conditionalFormatting xmlns:xm="http://schemas.microsoft.com/office/excel/2006/main">
          <x14:cfRule type="dataBar" id="{C8BF3524-E8AC-4238-AD40-AAEB4E8AF3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P58</xm:sqref>
        </x14:conditionalFormatting>
        <x14:conditionalFormatting xmlns:xm="http://schemas.microsoft.com/office/excel/2006/main">
          <x14:cfRule type="dataBar" id="{359C62ED-7025-4578-AC1D-F233D6CE6B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Q58</xm:sqref>
        </x14:conditionalFormatting>
        <x14:conditionalFormatting xmlns:xm="http://schemas.microsoft.com/office/excel/2006/main">
          <x14:cfRule type="dataBar" id="{E41794A0-60FF-4FD4-9806-206140CC64C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R58</xm:sqref>
        </x14:conditionalFormatting>
        <x14:conditionalFormatting xmlns:xm="http://schemas.microsoft.com/office/excel/2006/main">
          <x14:cfRule type="dataBar" id="{77379254-ED79-4BDB-8A26-003890832B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P60:R60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SM_Top_PCB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SIDRA</dc:creator>
  <cp:lastModifiedBy>user</cp:lastModifiedBy>
  <dcterms:created xsi:type="dcterms:W3CDTF">2021-07-08T12:50:28Z</dcterms:created>
  <dcterms:modified xsi:type="dcterms:W3CDTF">2021-12-14T11:21:15Z</dcterms:modified>
</cp:coreProperties>
</file>