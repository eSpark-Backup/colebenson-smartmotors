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<sst xmlns="http://schemas.openxmlformats.org/spreadsheetml/2006/main" count="826" uniqueCount="493">
  <si>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</si>
  <si>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</si>
  <si>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</si>
  <si>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</si>
  <si>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</si>
  <si>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</si>
  <si>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</si>
  <si>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</si>
  <si>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</si>
  <si>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</si>
  <si>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</si>
  <si>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</si>
  <si>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</si>
  <si>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Quantity 25</t>
  </si>
  <si>
    <t>Quantity 100</t>
  </si>
  <si>
    <t>MOQ(1)</t>
  </si>
  <si>
    <t>MOQ(5)</t>
  </si>
  <si>
    <t>MOQ(25)</t>
  </si>
  <si>
    <t>MOQ(100)</t>
  </si>
  <si>
    <t>Links</t>
  </si>
  <si>
    <t>Unit Cost(1)</t>
  </si>
  <si>
    <t>Total Cost(1)</t>
  </si>
  <si>
    <t>Unit Cost (5 Boards)</t>
  </si>
  <si>
    <t>Total Cost (5)</t>
  </si>
  <si>
    <t>Unit Cost (25 Boards)</t>
  </si>
  <si>
    <t>Total Cost (25)</t>
  </si>
  <si>
    <t>Unit Cost (100 Boards)</t>
  </si>
  <si>
    <t>Total Cost (100)</t>
  </si>
  <si>
    <t>Remarks</t>
  </si>
  <si>
    <t>Capacitor</t>
  </si>
  <si>
    <t xml:space="preserve">CAP ALUM 220UF 20% 63V SMD
</t>
  </si>
  <si>
    <t>C22</t>
  </si>
  <si>
    <t>Custom</t>
  </si>
  <si>
    <t>VKME1451J221MV</t>
  </si>
  <si>
    <t>Ymin</t>
  </si>
  <si>
    <t>--------</t>
  </si>
  <si>
    <t>C487391</t>
  </si>
  <si>
    <t>220uF</t>
  </si>
  <si>
    <t>LCSC</t>
  </si>
  <si>
    <t>CAP ALUM 220UF 20% 50V SMD</t>
  </si>
  <si>
    <t>C1</t>
  </si>
  <si>
    <t>UCD1H221MNL1GS</t>
  </si>
  <si>
    <t>Nichicon</t>
  </si>
  <si>
    <t>C116211</t>
  </si>
  <si>
    <t xml:space="preserve">CAP CER 0.1UF 50V Y5V 0603
</t>
  </si>
  <si>
    <t>C2, C13, C51, C52, C53, C54, C61, CF1, CF2</t>
  </si>
  <si>
    <t>Cap0603</t>
  </si>
  <si>
    <t>CL10B104KB8NNNC</t>
  </si>
  <si>
    <t>Samsung</t>
  </si>
  <si>
    <t>C1591</t>
  </si>
  <si>
    <t>0.1uF</t>
  </si>
  <si>
    <t>CAP CER 0.1UF 50V X7R 0402</t>
  </si>
  <si>
    <t>C25, C32</t>
  </si>
  <si>
    <t>Cap 0402</t>
  </si>
  <si>
    <t>CL05B104KB54PNC</t>
  </si>
  <si>
    <t>C307331</t>
  </si>
  <si>
    <t>0.1UF</t>
  </si>
  <si>
    <t>CAP CER 10000PF 25V X7R 0402</t>
  </si>
  <si>
    <t>C3</t>
  </si>
  <si>
    <t>CC0402KRX7R8BB103</t>
  </si>
  <si>
    <t>Yageo</t>
  </si>
  <si>
    <t>C327025</t>
  </si>
  <si>
    <t>10nF</t>
  </si>
  <si>
    <t>CAP CER 0.47UF 50V X5R 0402</t>
  </si>
  <si>
    <t>C4, C46</t>
  </si>
  <si>
    <t>UMK105ABJ474KV-F</t>
  </si>
  <si>
    <t>Taiyo Yuden</t>
  </si>
  <si>
    <t>GRM155R61H474KE11D</t>
  </si>
  <si>
    <t>C437527</t>
  </si>
  <si>
    <t>0.47uF</t>
  </si>
  <si>
    <t>CAP CER 1UF 100V X7S 0805</t>
  </si>
  <si>
    <t>C55</t>
  </si>
  <si>
    <t>Cap0805</t>
  </si>
  <si>
    <t>C2012X7S2A105K125AB</t>
  </si>
  <si>
    <t>TDK</t>
  </si>
  <si>
    <t>HMK212BC7105KGHTE</t>
  </si>
  <si>
    <t>C385977</t>
  </si>
  <si>
    <t>1uF</t>
  </si>
  <si>
    <t xml:space="preserve">CAP ALUM 470UF 20% 50V SMD
</t>
  </si>
  <si>
    <t>C49</t>
  </si>
  <si>
    <t>VT1H471MI135000CE0</t>
  </si>
  <si>
    <t>Changzhou Huawei Elec</t>
  </si>
  <si>
    <t>RVT1H471M1213</t>
  </si>
  <si>
    <t>C90272</t>
  </si>
  <si>
    <t>470uF</t>
  </si>
  <si>
    <t>Dimension are same but check footprint</t>
  </si>
  <si>
    <t>CAP CER 0.47uF 50V X7R 0603</t>
  </si>
  <si>
    <t>C30</t>
  </si>
  <si>
    <t>Cap 0603</t>
  </si>
  <si>
    <t>UMK107B7474KA-TR</t>
  </si>
  <si>
    <t>C92847</t>
  </si>
  <si>
    <t xml:space="preserve">CAP CER 1UF 25V X5R 0603
</t>
  </si>
  <si>
    <t>C7</t>
  </si>
  <si>
    <t>CC0603KRX5R8BB105</t>
  </si>
  <si>
    <t>C14664</t>
  </si>
  <si>
    <t xml:space="preserve">CAP CER 2.2UF 35V X5R 0603
</t>
  </si>
  <si>
    <t>C5, C6, C14, C23, C24, C29, C34, C35, C56</t>
  </si>
  <si>
    <t>GRM188R6YA225KA12D</t>
  </si>
  <si>
    <t>Murata</t>
  </si>
  <si>
    <t>C1608X5R1V225KT000E</t>
  </si>
  <si>
    <t>C342978</t>
  </si>
  <si>
    <t>2.2uF</t>
  </si>
  <si>
    <t>CAP CER 10UF 25V X5R 0603</t>
  </si>
  <si>
    <t>C8, C10, C11, C12</t>
  </si>
  <si>
    <t>CL10A106MA8NRNC</t>
  </si>
  <si>
    <t>C2922482</t>
  </si>
  <si>
    <t>10uF</t>
  </si>
  <si>
    <t>CAP CER 0.082UF 50V X7R 0603</t>
  </si>
  <si>
    <t>C9</t>
  </si>
  <si>
    <t>CC0603KRX7R9BB823</t>
  </si>
  <si>
    <t>C107100</t>
  </si>
  <si>
    <t>82nF</t>
  </si>
  <si>
    <t>CAP CER 4.7UF 25V X5R 0603</t>
  </si>
  <si>
    <t>C33, C38, C39</t>
  </si>
  <si>
    <t>CL10A475KA8NQNC</t>
  </si>
  <si>
    <t>C69335</t>
  </si>
  <si>
    <t>4.7UF</t>
  </si>
  <si>
    <t>CAP CER 1000PF 100V X7R 0402</t>
  </si>
  <si>
    <t>C36</t>
  </si>
  <si>
    <t>885012205080</t>
  </si>
  <si>
    <t>Wurth Electronics</t>
  </si>
  <si>
    <t>CGA2B3X7S2A102KT0Y0F</t>
  </si>
  <si>
    <t>C445751</t>
  </si>
  <si>
    <t>1000pF</t>
  </si>
  <si>
    <t>CAP TANT 100UF 20% 25V 2917</t>
  </si>
  <si>
    <t>C48</t>
  </si>
  <si>
    <t>CAP- 2917</t>
  </si>
  <si>
    <t>TAJE107M025RNJ</t>
  </si>
  <si>
    <t>Kyocera AVX</t>
  </si>
  <si>
    <t>C7230</t>
  </si>
  <si>
    <t>100uF</t>
  </si>
  <si>
    <t>CAP CER 470pF 10% X7R 50V 0603 SMD</t>
  </si>
  <si>
    <t>C50</t>
  </si>
  <si>
    <t>CC0603KRX7R9BB471</t>
  </si>
  <si>
    <t>C107092</t>
  </si>
  <si>
    <t>470pF</t>
  </si>
  <si>
    <t>CAP CER 2200PF 50V X7R 0603</t>
  </si>
  <si>
    <t>C37</t>
  </si>
  <si>
    <t>CC0603KRX7R9BB222</t>
  </si>
  <si>
    <t>C107082</t>
  </si>
  <si>
    <t>2.2nF</t>
  </si>
  <si>
    <t>CAP CER 4.7UF 100V X7S 1210</t>
  </si>
  <si>
    <t>C41</t>
  </si>
  <si>
    <t>Cap1210</t>
  </si>
  <si>
    <t>HMK325C7475KN-TE</t>
  </si>
  <si>
    <t>C697607</t>
  </si>
  <si>
    <t>4.7uF</t>
  </si>
  <si>
    <t>Surface Mount Ceramic Multilayer Capacitor 68pF 5% C0G 50V 0603 Paper T/R</t>
  </si>
  <si>
    <t>C42</t>
  </si>
  <si>
    <t>CC0603JRNPO9BN680</t>
  </si>
  <si>
    <t>C62782</t>
  </si>
  <si>
    <t>68pF</t>
  </si>
  <si>
    <t>CAP CER 1206 47 uF 25 V ±20 % Tol. X5R</t>
  </si>
  <si>
    <t>C43, C45, C47</t>
  </si>
  <si>
    <t>Cap1206</t>
  </si>
  <si>
    <t>GRM31CR61E476ME44L</t>
  </si>
  <si>
    <t>C403725</t>
  </si>
  <si>
    <t>47uF</t>
  </si>
  <si>
    <t>CAP CER 0.02uF 50V X7R 10% SMD 0603 125°C Paper T/R</t>
  </si>
  <si>
    <t>C44</t>
  </si>
  <si>
    <t>CC0603KRX7R9BB203</t>
  </si>
  <si>
    <t>C282065</t>
  </si>
  <si>
    <t>20nF</t>
  </si>
  <si>
    <t>CAP CER 0.1UF 100V X7R 0603</t>
  </si>
  <si>
    <t>C15, C20, C40</t>
  </si>
  <si>
    <t>CC0603KRX7R0BB104</t>
  </si>
  <si>
    <t>C113803</t>
  </si>
  <si>
    <t>Cap Ceramic 0.22uF 100V X7R 10% SMD 0805 125°C Embossed T/R</t>
  </si>
  <si>
    <t>C16, C18, C19, C21</t>
  </si>
  <si>
    <t>08051C224K4T2A</t>
  </si>
  <si>
    <t>0805B224K101NT</t>
  </si>
  <si>
    <t>C967578</t>
  </si>
  <si>
    <t>220nF</t>
  </si>
  <si>
    <t>CAP CER 220nF 35V 0805</t>
  </si>
  <si>
    <t>C26, C27, C28, C31</t>
  </si>
  <si>
    <t>0805</t>
  </si>
  <si>
    <t>GMK212BJ224KGHT</t>
  </si>
  <si>
    <t>C524973</t>
  </si>
  <si>
    <t>stock:310(no alternate at LCSC) mouser has enough stock</t>
  </si>
  <si>
    <t xml:space="preserve">CAP CER 0.022UF 100V X7R 0603
</t>
  </si>
  <si>
    <t>C17</t>
  </si>
  <si>
    <t>CGA3E2X7R2A223K080AA</t>
  </si>
  <si>
    <t>C376821</t>
  </si>
  <si>
    <t>22nF</t>
  </si>
  <si>
    <t>.47uF</t>
  </si>
  <si>
    <t>CAP CER 1nF 100V X7R 0603</t>
  </si>
  <si>
    <t>C57, C58, C59, C60</t>
  </si>
  <si>
    <t>Res0603</t>
  </si>
  <si>
    <t>CL10B102KC8NNNC</t>
  </si>
  <si>
    <t>C153291</t>
  </si>
  <si>
    <t>1nF</t>
  </si>
  <si>
    <t>LED</t>
  </si>
  <si>
    <t>Standard LEDs - SMD SMD LED Red/Grn/Blue 625/1550/260 mcd</t>
  </si>
  <si>
    <t>LED1</t>
  </si>
  <si>
    <t>LTST-G683GEBW</t>
  </si>
  <si>
    <t>Vishay Lite-On</t>
  </si>
  <si>
    <t>-----</t>
  </si>
  <si>
    <t>Verical</t>
  </si>
  <si>
    <t>zero stock at LCSC</t>
  </si>
  <si>
    <t>LED GREEN CLEAR CHIP SMD</t>
  </si>
  <si>
    <t>LED2</t>
  </si>
  <si>
    <t>LED 0402</t>
  </si>
  <si>
    <t>XZVG68W-2</t>
  </si>
  <si>
    <t>SunLED</t>
  </si>
  <si>
    <t>16-213/GHC-YR1S1/3T</t>
  </si>
  <si>
    <t>C74338</t>
  </si>
  <si>
    <t>Diode</t>
  </si>
  <si>
    <t>Diode Schottky 30V 1A Surface Mount USC</t>
  </si>
  <si>
    <t>D1</t>
  </si>
  <si>
    <t>CUS10S30,H3F</t>
  </si>
  <si>
    <t>Toshiba</t>
  </si>
  <si>
    <t>C146335</t>
  </si>
  <si>
    <t>500μA@100V 100V Single 600mV@1A 1A SMA Schottky Barrier Diodes (SBD) ROHS</t>
  </si>
  <si>
    <t>D2</t>
  </si>
  <si>
    <t>SMA</t>
  </si>
  <si>
    <t>SSL110A</t>
  </si>
  <si>
    <t>Yangzhou</t>
  </si>
  <si>
    <t>C698870</t>
  </si>
  <si>
    <t>40V 500mV@2A 2A SMA(DO-214AC) Schottky Barrier Diodes (SBD) ROHS</t>
  </si>
  <si>
    <t>D3</t>
  </si>
  <si>
    <t>SS24A</t>
  </si>
  <si>
    <t>C211773</t>
  </si>
  <si>
    <t>DIODE SCHOTTKY 30V 1A SOD123W</t>
  </si>
  <si>
    <t>D4, D5, D6, D7, D8, D9, D10, D11</t>
  </si>
  <si>
    <t>SOD-123W</t>
  </si>
  <si>
    <t>PMEG3010ER,115</t>
  </si>
  <si>
    <t>Vishay Semiconductors</t>
  </si>
  <si>
    <t>Quote required</t>
  </si>
  <si>
    <t>SMD,3.5x3.5mm Light Emitting Diodes (LED) RoHS</t>
  </si>
  <si>
    <t>WS2812B-Mini</t>
  </si>
  <si>
    <t>Nexperia</t>
  </si>
  <si>
    <t>C527089</t>
  </si>
  <si>
    <t>Fuse</t>
  </si>
  <si>
    <t>FUSE BOARD MNT 15A 125VAC 32VDC</t>
  </si>
  <si>
    <t>F1</t>
  </si>
  <si>
    <t>0685H9150-01</t>
  </si>
  <si>
    <t xml:space="preserve">Bel Fuse Inc.
</t>
  </si>
  <si>
    <t>Inductor</t>
  </si>
  <si>
    <t>Inductor Power Shielded Wirewound 220uH 20% 1KHz Ferrite 1.3A 310mOhm DCR Blister T/R</t>
  </si>
  <si>
    <t>L1</t>
  </si>
  <si>
    <t>SLF12575T-221M1R3-PF</t>
  </si>
  <si>
    <t>C93225</t>
  </si>
  <si>
    <t>220uH</t>
  </si>
  <si>
    <t>1A 15uH ±20% 190mΩ SMD Power Inductors ROHS</t>
  </si>
  <si>
    <t>L2</t>
  </si>
  <si>
    <t>MPIT4018-150M-LF</t>
  </si>
  <si>
    <t>microgate</t>
  </si>
  <si>
    <t>C281265</t>
  </si>
  <si>
    <t>15uH</t>
  </si>
  <si>
    <t>Ferrite Beads Multi-Layer 120Ohm 25% 100MHz 2A 45mOhm DCR 0603 Automotive T/R</t>
  </si>
  <si>
    <t>FB1, FB2, FB3, FB4</t>
  </si>
  <si>
    <t>MPZ1608S121ATDH5</t>
  </si>
  <si>
    <t>BLM18EG101TN1D</t>
  </si>
  <si>
    <t>C76893</t>
  </si>
  <si>
    <t>Impedance @ Frequency is changed</t>
  </si>
  <si>
    <t>Mosfet</t>
  </si>
  <si>
    <t>MOSFET N-CH 80V 74A 8TDSON</t>
  </si>
  <si>
    <t>Q2, Q3, Q4, Q5, Q6, Q7, Q8, Q9</t>
  </si>
  <si>
    <t>8-PowerTDFN</t>
  </si>
  <si>
    <t>BSC072N08NS5ATMA1</t>
  </si>
  <si>
    <t xml:space="preserve">Infineon Technologies
</t>
  </si>
  <si>
    <t>Aliexpress</t>
  </si>
  <si>
    <t>Resistor</t>
  </si>
  <si>
    <t>RES SMD 5.1K OHM 5% 1/10W 0603</t>
  </si>
  <si>
    <t>R1, R2</t>
  </si>
  <si>
    <t>RC0603JR-075K1L</t>
  </si>
  <si>
    <t>C14677</t>
  </si>
  <si>
    <t>5.1K</t>
  </si>
  <si>
    <t>Res 0603 3.9K Ohm 1% 0.1W(1/10W) ±100ppm/°C Pad SMD T/R</t>
  </si>
  <si>
    <t>R3</t>
  </si>
  <si>
    <t>RC0603FR-073K9L</t>
  </si>
  <si>
    <t>C114616</t>
  </si>
  <si>
    <t>3.9K</t>
  </si>
  <si>
    <t>RES SMD 0R, 1%, 0.1W, 0603</t>
  </si>
  <si>
    <t>R5, R32</t>
  </si>
  <si>
    <t>RC0603FR-070RL</t>
  </si>
  <si>
    <t>C100044</t>
  </si>
  <si>
    <t>0R</t>
  </si>
  <si>
    <t>RES SMD 2K OHM 1% 1/10W 0603</t>
  </si>
  <si>
    <t>R4, R35, R39</t>
  </si>
  <si>
    <t>RC0603FR-072KL</t>
  </si>
  <si>
    <t>C105576</t>
  </si>
  <si>
    <t>2K</t>
  </si>
  <si>
    <t>RES SMD 47OHM 0.1W 0603</t>
  </si>
  <si>
    <t>R6, R7, R8, R9</t>
  </si>
  <si>
    <t>RC0603FR-0747RL</t>
  </si>
  <si>
    <t>C114623</t>
  </si>
  <si>
    <t>47R</t>
  </si>
  <si>
    <t xml:space="preserve">RES 0.033 OHM 1% 2W 2512
</t>
  </si>
  <si>
    <t>R10, R11, R12, R13</t>
  </si>
  <si>
    <t>RES 2512</t>
  </si>
  <si>
    <t>CRH2512FR033E04Z</t>
  </si>
  <si>
    <t>Ever Ohms Tech</t>
  </si>
  <si>
    <t>LMP25NF2P0R033</t>
  </si>
  <si>
    <t>C2838960</t>
  </si>
  <si>
    <t>33m</t>
  </si>
  <si>
    <t>Temp: coefficient is changed</t>
  </si>
  <si>
    <t>RES SMD 150OHM 1/10W 0603</t>
  </si>
  <si>
    <t>R14, R15, R16, R17, R18, R19, R20, R26</t>
  </si>
  <si>
    <t>RC0603FR-07150RL</t>
  </si>
  <si>
    <t>C114608</t>
  </si>
  <si>
    <t>150R</t>
  </si>
  <si>
    <t>RES SMD 3.01K OHM 1% 1/10W 0603</t>
  </si>
  <si>
    <t>R21</t>
  </si>
  <si>
    <t>ERJ3EKF3011V</t>
  </si>
  <si>
    <t>FRC0603F3011TS</t>
  </si>
  <si>
    <t>C2933193</t>
  </si>
  <si>
    <t>3.01K</t>
  </si>
  <si>
    <t>Overload voltage ratting is different</t>
  </si>
  <si>
    <t>RES SMD 11K, 1%, 0.1W, 0603</t>
  </si>
  <si>
    <t>R22</t>
  </si>
  <si>
    <t>RC0603FR-0711KL</t>
  </si>
  <si>
    <t>C137801</t>
  </si>
  <si>
    <t>11K</t>
  </si>
  <si>
    <t>RES SMD 2.2OHM 0603</t>
  </si>
  <si>
    <t>R23</t>
  </si>
  <si>
    <t>ERJ3GEYJ2R2V</t>
  </si>
  <si>
    <t>Panasonic Electronic Components</t>
  </si>
  <si>
    <t>0603WAJ022JT5E</t>
  </si>
  <si>
    <t>C25226</t>
  </si>
  <si>
    <t>2R2</t>
  </si>
  <si>
    <t>RES SMD 12.4K OHM 1% 1/10W 0603</t>
  </si>
  <si>
    <t>R24</t>
  </si>
  <si>
    <t>RC0603FR-0712K4L</t>
  </si>
  <si>
    <t>C137798</t>
  </si>
  <si>
    <t>12.4K</t>
  </si>
  <si>
    <t>RES SMD 143 OHM 1% 1/10W 0603</t>
  </si>
  <si>
    <t>R25</t>
  </si>
  <si>
    <t>ERJ3EKF1430V</t>
  </si>
  <si>
    <t>C400649</t>
  </si>
  <si>
    <t>143R</t>
  </si>
  <si>
    <t>RES SMD 11.8K OHM 1% 1/10W 0603</t>
  </si>
  <si>
    <t>R27</t>
  </si>
  <si>
    <t>AC0603FR-0711K8L</t>
  </si>
  <si>
    <t>C227561</t>
  </si>
  <si>
    <t>11.8K</t>
  </si>
  <si>
    <t>RES SMD 105K OHM 1% 1/10W 0603</t>
  </si>
  <si>
    <t>R28</t>
  </si>
  <si>
    <t>RC0603FR-07105KL</t>
  </si>
  <si>
    <t>C141685</t>
  </si>
  <si>
    <t>105K</t>
  </si>
  <si>
    <t>RES SMD 127K OHM 1% 1/10W 0603</t>
  </si>
  <si>
    <t>R29</t>
  </si>
  <si>
    <t>RT0603FRE07127KL</t>
  </si>
  <si>
    <t>C706120</t>
  </si>
  <si>
    <t>127K</t>
  </si>
  <si>
    <t>RES SMD 10K OHM 1% 1/20W 0201</t>
  </si>
  <si>
    <t>R30</t>
  </si>
  <si>
    <t>Res-0201</t>
  </si>
  <si>
    <t>RC0201FR-0710KL</t>
  </si>
  <si>
    <t>C106225</t>
  </si>
  <si>
    <t>10K</t>
  </si>
  <si>
    <t>RES SMD 301K OHM 0.1% 1/10W 0603</t>
  </si>
  <si>
    <t>R31</t>
  </si>
  <si>
    <t>RT0603BRE07301KL</t>
  </si>
  <si>
    <t>C326750</t>
  </si>
  <si>
    <t>301K</t>
  </si>
  <si>
    <t>Res Thick Film 0603 240 Ohm 1% 1/10W +/-100ppm/ßC Molded SMD Paper T/R</t>
  </si>
  <si>
    <t>R33, R34</t>
  </si>
  <si>
    <t>RC0603FR-07240RL</t>
  </si>
  <si>
    <t>C114613</t>
  </si>
  <si>
    <t>240R</t>
  </si>
  <si>
    <t>Res SMD 0603 51.1K Ohm 0.1% 1/10W</t>
  </si>
  <si>
    <t>R36</t>
  </si>
  <si>
    <t>ERA3AEB5112V</t>
  </si>
  <si>
    <t>Panasonic</t>
  </si>
  <si>
    <t>C491138</t>
  </si>
  <si>
    <t>51.1K</t>
  </si>
  <si>
    <t>RES SMD 1M OHM 1% 1/20W 0201</t>
  </si>
  <si>
    <t>R37</t>
  </si>
  <si>
    <t>RC0201FR-071ML</t>
  </si>
  <si>
    <t>C295786</t>
  </si>
  <si>
    <t>1M</t>
  </si>
  <si>
    <t>Res SMD 0603 90.9K Ohm 1% 1/10W</t>
  </si>
  <si>
    <t>R38</t>
  </si>
  <si>
    <t>ERJ3EKF9092V</t>
  </si>
  <si>
    <t>C403390</t>
  </si>
  <si>
    <t>90.9K</t>
  </si>
  <si>
    <r>
      <t>±1% 1/10W Thick Film Resistors 75V ±100ppm/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-55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>~+155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1.2kΩ 0603 Chip Resistor - Surface Mount ROHS</t>
    </r>
  </si>
  <si>
    <t>R40</t>
  </si>
  <si>
    <t>0603WAF1201T5E</t>
  </si>
  <si>
    <t>UNI-ROYAL</t>
  </si>
  <si>
    <t>C22765</t>
  </si>
  <si>
    <t>1.2K</t>
  </si>
  <si>
    <r>
      <t>±1% 1/10W Thick Film Resistors 75V ±600ppm/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-55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>~+155</t>
    </r>
    <r>
      <rPr>
        <sz val="10"/>
        <color theme="1"/>
        <rFont val="Times New Roman"/>
        <charset val="134"/>
      </rPr>
      <t>℃</t>
    </r>
    <r>
      <rPr>
        <sz val="10"/>
        <color theme="1"/>
        <rFont val="Calibri"/>
        <charset val="134"/>
      </rPr>
      <t xml:space="preserve"> 0.33Ω 0603 Chip Resistor - Surface Mount ROHS</t>
    </r>
  </si>
  <si>
    <t>R41</t>
  </si>
  <si>
    <t>RTT03R330FTP</t>
  </si>
  <si>
    <t>RALEC</t>
  </si>
  <si>
    <t>C103893</t>
  </si>
  <si>
    <t>0.33R</t>
  </si>
  <si>
    <t>RES SMD 10K Ohm 1% 1/10W 0603</t>
  </si>
  <si>
    <t>RF1, RF2, RF3, RF4</t>
  </si>
  <si>
    <t>RC0603FR-0710KL</t>
  </si>
  <si>
    <t>C98220</t>
  </si>
  <si>
    <t>Switch</t>
  </si>
  <si>
    <t>Memontary Tactile Push Button Switch 6X6X4.3 / 4.5 / 5/6/7/8/9/10 / 13mm SMD</t>
  </si>
  <si>
    <t>SW1</t>
  </si>
  <si>
    <t>Tactile Switch 13mm Actuator</t>
  </si>
  <si>
    <t>WIN ELEC-TECH CO., LTD</t>
  </si>
  <si>
    <t>----</t>
  </si>
  <si>
    <t>Transformer</t>
  </si>
  <si>
    <t>XFRMR ISOL BUCK DC/DC CONV SMD</t>
  </si>
  <si>
    <t>T1</t>
  </si>
  <si>
    <t>750314597</t>
  </si>
  <si>
    <t>Wurth Electronics Midcom</t>
  </si>
  <si>
    <t>Ics</t>
  </si>
  <si>
    <t>IC REG BUCK FLYBCK ADJ 12WSON</t>
  </si>
  <si>
    <t>U1</t>
  </si>
  <si>
    <t>12WSON</t>
  </si>
  <si>
    <t>LM5160ADNTR</t>
  </si>
  <si>
    <t>Texas Instruments</t>
  </si>
  <si>
    <t>Winsource</t>
  </si>
  <si>
    <t>3.5V to 36V, 3A Synchronous Step-Down Voltage Converter 16-HTSSOP -40 to 125</t>
  </si>
  <si>
    <t>U3</t>
  </si>
  <si>
    <t>HTSSOP-16</t>
  </si>
  <si>
    <t>LM43603PWPR</t>
  </si>
  <si>
    <t>IC REG LINEAR 3.3V 1A 6UDFN</t>
  </si>
  <si>
    <t>U2</t>
  </si>
  <si>
    <t>6-UDFN (3x3)</t>
  </si>
  <si>
    <t>NCP708MU330TAG</t>
  </si>
  <si>
    <t>ON Semiconductor</t>
  </si>
  <si>
    <t>IC REG CHARGE PUMP 5V 140MA 6SON</t>
  </si>
  <si>
    <t>U4</t>
  </si>
  <si>
    <t>6SON</t>
  </si>
  <si>
    <t>TPS60150DRVR</t>
  </si>
  <si>
    <t>1.5-A boost, buck, inverting switching regulator, operation from 0°C to 70°C 8-SOIC 0 to 70</t>
  </si>
  <si>
    <t>U5</t>
  </si>
  <si>
    <t>SOIC-8</t>
  </si>
  <si>
    <t>MC34063ADR</t>
  </si>
  <si>
    <t>C100023</t>
  </si>
  <si>
    <t>IC MTR DRVR BIPOLAR 8-60V 48TQFP</t>
  </si>
  <si>
    <t>U6</t>
  </si>
  <si>
    <t>48-tqfp-ep (7x7)</t>
  </si>
  <si>
    <t>TMC5160A-TA-T</t>
  </si>
  <si>
    <t>IC OPAMP GP 1.7MHZ RRO SOT23-6</t>
  </si>
  <si>
    <t>U7</t>
  </si>
  <si>
    <t>SOT-23-6</t>
  </si>
  <si>
    <t>MAX4236EUT+T</t>
  </si>
  <si>
    <t>Maxim Integrated</t>
  </si>
  <si>
    <t>DGTL ISO 3000VRMS 4CH 16SSOP</t>
  </si>
  <si>
    <t>U8</t>
  </si>
  <si>
    <t>16SSOP</t>
  </si>
  <si>
    <t>ISO7741QDBQQ1</t>
  </si>
  <si>
    <t>DGTL ISO 600VRMS 6CH GP 16SOIC</t>
  </si>
  <si>
    <t>U9</t>
  </si>
  <si>
    <t>16SOIC</t>
  </si>
  <si>
    <t>MAX14850ASE+</t>
  </si>
  <si>
    <t>Maxim</t>
  </si>
  <si>
    <t>IC BUS BUFFER TRI-ST QD 14TSSOP</t>
  </si>
  <si>
    <t>U10</t>
  </si>
  <si>
    <t>14TSSOP</t>
  </si>
  <si>
    <t>SN74LVTH125PWR</t>
  </si>
  <si>
    <t>C7042</t>
  </si>
  <si>
    <t>Connectors</t>
  </si>
  <si>
    <t>USB - Type C Female 24 SMD USB Connectors RoHS</t>
  </si>
  <si>
    <t>J1</t>
  </si>
  <si>
    <t>MC-318</t>
  </si>
  <si>
    <t>SOFNG</t>
  </si>
  <si>
    <t>C183608</t>
  </si>
  <si>
    <t>Conn RJ-25 F 6 POS 2.54mm Solder ST Thru-Hole 4 Terminal 1 Port Tray Cat 3</t>
  </si>
  <si>
    <t>J2, J5</t>
  </si>
  <si>
    <t>5520425-2</t>
  </si>
  <si>
    <t>TE Connectivity AMP Connectors</t>
  </si>
  <si>
    <t>Onlinecomponents</t>
  </si>
  <si>
    <t>CONN HEADER SMD 26POS 1.27MM</t>
  </si>
  <si>
    <t>J3</t>
  </si>
  <si>
    <t>M55-7012642R</t>
  </si>
  <si>
    <t>Harwin</t>
  </si>
  <si>
    <t>CONN HEADER VERT 4POS 2.5MM</t>
  </si>
  <si>
    <t>J4</t>
  </si>
  <si>
    <t>B4B-XH-A(LF)(SN)</t>
  </si>
  <si>
    <t>JST Sales America Inc.</t>
  </si>
  <si>
    <t>C144395</t>
  </si>
  <si>
    <t>XT60 CONNECTORS MALE/FEMALE PAIR</t>
  </si>
  <si>
    <t>P1, P2</t>
  </si>
  <si>
    <t>PRT-10474</t>
  </si>
  <si>
    <t>SparkFun Electronics</t>
  </si>
  <si>
    <t>Price for Pair</t>
  </si>
  <si>
    <t>CONN HEADER VERT 2POS 2.54MM</t>
  </si>
  <si>
    <t>P7, P8, P9, P10</t>
  </si>
  <si>
    <t>HDR1X2</t>
  </si>
  <si>
    <t>Würth Elektronik</t>
  </si>
  <si>
    <t>X6511WV-02H-C30D60</t>
  </si>
  <si>
    <t>C706874</t>
  </si>
  <si>
    <t>Test Point ON</t>
  </si>
  <si>
    <t>P3, P4, P5, P6</t>
  </si>
  <si>
    <t>TEST POINT</t>
  </si>
  <si>
    <t xml:space="preserve">DO NOT MOUNT </t>
  </si>
  <si>
    <t>Solder Bridge ON</t>
  </si>
  <si>
    <t>SB1, SB2, SB3, SB4, SB5, SB6, SB7, SB8, SB9, SB10, SB11</t>
  </si>
  <si>
    <t>Solder Bridge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</si>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</sst>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7">
    <numFmt numFmtId="176" formatCode="_ * #,##0_ ;_ * \-#,##0_ ;_ * &quot;-&quot;_ ;_ @_ "/>
    <numFmt numFmtId="177" formatCode="_ * #,##0.00_ ;_ * \-#,##0.00_ ;_ * &quot;-&quot;??_ ;_ @_ "/>
    <numFmt numFmtId="178" formatCode="&quot;$&quot;#,##0.00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9" formatCode="&quot;$&quot;#,##0.0000_);[Red]\(&quot;$&quot;#,##0.0000\)"/>
    <numFmt numFmtId="8" formatCode="&quot;$&quot;#,##0.00_);[Red]\(&quot;$&quot;#,##0.00\)"/>
  </numFmts>
  <fonts count="38"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b/>
      <sz val="12"/>
      <color theme="0"/>
      <name val="Calibri"/>
      <charset val="134"/>
    </font>
    <font>
      <b/>
      <sz val="11"/>
      <color theme="0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sz val="10"/>
      <color rgb="FF000000"/>
      <name val="Calibri"/>
      <charset val="134"/>
    </font>
    <font>
      <strike/>
      <sz val="10"/>
      <color rgb="FFFF0000"/>
      <name val="Calibri"/>
      <charset val="134"/>
    </font>
    <font>
      <sz val="10"/>
      <color rgb="FF333333"/>
      <name val="Calibri"/>
      <charset val="134"/>
    </font>
    <font>
      <sz val="10"/>
      <name val="Calibri"/>
      <charset val="134"/>
    </font>
    <font>
      <sz val="10"/>
      <color rgb="FFFF0000"/>
      <name val="Calibri"/>
      <charset val="134"/>
    </font>
    <font>
      <u/>
      <sz val="10"/>
      <color rgb="FF800080"/>
      <name val="Calibri"/>
      <charset val="0"/>
    </font>
    <font>
      <u/>
      <sz val="10"/>
      <color rgb="FF0000FF"/>
      <name val="Calibri"/>
      <charset val="0"/>
    </font>
    <font>
      <b/>
      <sz val="14"/>
      <name val="Calibri"/>
      <charset val="134"/>
    </font>
    <font>
      <b/>
      <sz val="10"/>
      <color rgb="FFFF0000"/>
      <name val="Calibri"/>
      <charset val="134"/>
    </font>
    <font>
      <b/>
      <sz val="10"/>
      <name val="Calibri"/>
      <charset val="134"/>
    </font>
    <font>
      <b/>
      <strike/>
      <sz val="10"/>
      <color theme="1"/>
      <name val="Calibri"/>
      <charset val="134"/>
    </font>
    <font>
      <b/>
      <strike/>
      <sz val="10"/>
      <color rgb="FFFF0000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0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1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0" fillId="8" borderId="26" applyNumberFormat="0" applyAlignment="0" applyProtection="0">
      <alignment vertical="center"/>
    </xf>
    <xf numFmtId="0" fontId="26" fillId="0" borderId="27" applyNumberFormat="0" applyFill="0" applyAlignment="0" applyProtection="0">
      <alignment vertical="center"/>
    </xf>
    <xf numFmtId="0" fontId="0" fillId="17" borderId="28" applyNumberFormat="0" applyFont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2" fillId="24" borderId="31" applyNumberFormat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34" fillId="26" borderId="32" applyNumberFormat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36" fillId="26" borderId="31" applyNumberFormat="0" applyAlignment="0" applyProtection="0">
      <alignment vertical="center"/>
    </xf>
    <xf numFmtId="0" fontId="35" fillId="0" borderId="33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</cellStyleXfs>
  <cellXfs count="14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left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left" vertical="center"/>
    </xf>
    <xf numFmtId="0" fontId="6" fillId="3" borderId="11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left" vertical="center"/>
    </xf>
    <xf numFmtId="0" fontId="1" fillId="0" borderId="10" xfId="0" applyFont="1" applyFill="1" applyBorder="1" applyAlignment="1">
      <alignment horizontal="left" vertical="center"/>
    </xf>
    <xf numFmtId="0" fontId="7" fillId="0" borderId="11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left" vertical="center"/>
    </xf>
    <xf numFmtId="0" fontId="6" fillId="5" borderId="14" xfId="0" applyFon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5" fillId="0" borderId="15" xfId="0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left" vertical="center"/>
    </xf>
    <xf numFmtId="0" fontId="6" fillId="3" borderId="17" xfId="0" applyFont="1" applyFill="1" applyBorder="1" applyAlignment="1">
      <alignment horizontal="center" vertical="center"/>
    </xf>
    <xf numFmtId="0" fontId="6" fillId="0" borderId="17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4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78" fontId="3" fillId="2" borderId="2" xfId="0" applyNumberFormat="1" applyFont="1" applyFill="1" applyBorder="1" applyAlignment="1">
      <alignment horizontal="center" vertical="center"/>
    </xf>
    <xf numFmtId="0" fontId="11" fillId="0" borderId="6" xfId="7" applyFont="1" applyFill="1" applyBorder="1" applyAlignment="1">
      <alignment horizontal="center" vertical="center"/>
    </xf>
    <xf numFmtId="179" fontId="1" fillId="0" borderId="6" xfId="0" applyNumberFormat="1" applyFont="1" applyBorder="1" applyAlignment="1">
      <alignment horizontal="center" vertical="center"/>
    </xf>
    <xf numFmtId="179" fontId="1" fillId="0" borderId="6" xfId="0" applyNumberFormat="1" applyFont="1" applyFill="1" applyBorder="1" applyAlignment="1">
      <alignment horizontal="center" vertical="center"/>
    </xf>
    <xf numFmtId="0" fontId="12" fillId="0" borderId="1" xfId="7" applyFont="1" applyBorder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0" fontId="12" fillId="0" borderId="1" xfId="7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7" applyFont="1" applyBorder="1" applyAlignment="1">
      <alignment horizontal="center" vertical="center"/>
    </xf>
    <xf numFmtId="0" fontId="12" fillId="0" borderId="1" xfId="7" applyFont="1" applyFill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2" fillId="0" borderId="1" xfId="7" applyFont="1" applyFill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0" fontId="12" fillId="0" borderId="11" xfId="7" applyFont="1" applyFill="1" applyBorder="1" applyAlignment="1">
      <alignment horizontal="center" vertical="center"/>
    </xf>
    <xf numFmtId="179" fontId="1" fillId="0" borderId="11" xfId="0" applyNumberFormat="1" applyFont="1" applyBorder="1" applyAlignment="1">
      <alignment horizontal="center" vertical="center"/>
    </xf>
    <xf numFmtId="179" fontId="1" fillId="0" borderId="11" xfId="0" applyNumberFormat="1" applyFont="1" applyFill="1" applyBorder="1" applyAlignment="1">
      <alignment horizontal="center" vertical="center"/>
    </xf>
    <xf numFmtId="0" fontId="12" fillId="0" borderId="6" xfId="7" applyFont="1" applyFill="1" applyBorder="1" applyAlignment="1">
      <alignment horizontal="center" vertical="center"/>
    </xf>
    <xf numFmtId="179" fontId="1" fillId="0" borderId="6" xfId="0" applyNumberFormat="1" applyFont="1" applyBorder="1" applyAlignment="1">
      <alignment horizontal="center" vertical="center"/>
    </xf>
    <xf numFmtId="179" fontId="1" fillId="5" borderId="1" xfId="0" applyNumberFormat="1" applyFont="1" applyFill="1" applyBorder="1" applyAlignment="1">
      <alignment horizontal="center" vertical="center"/>
    </xf>
    <xf numFmtId="179" fontId="1" fillId="5" borderId="14" xfId="0" applyNumberFormat="1" applyFont="1" applyFill="1" applyBorder="1" applyAlignment="1">
      <alignment horizontal="center" vertical="center"/>
    </xf>
    <xf numFmtId="0" fontId="11" fillId="0" borderId="1" xfId="7" applyFont="1" applyFill="1" applyBorder="1" applyAlignment="1">
      <alignment horizontal="center" vertical="center"/>
    </xf>
    <xf numFmtId="0" fontId="11" fillId="0" borderId="11" xfId="7" applyFont="1" applyFill="1" applyBorder="1" applyAlignment="1">
      <alignment horizontal="center" vertical="center"/>
    </xf>
    <xf numFmtId="179" fontId="1" fillId="0" borderId="11" xfId="0" applyNumberFormat="1" applyFont="1" applyBorder="1" applyAlignment="1">
      <alignment horizontal="center" vertical="center"/>
    </xf>
    <xf numFmtId="0" fontId="12" fillId="0" borderId="17" xfId="7" applyFont="1" applyFill="1" applyBorder="1" applyAlignment="1">
      <alignment horizontal="center" vertical="center"/>
    </xf>
    <xf numFmtId="179" fontId="1" fillId="0" borderId="17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9" fontId="1" fillId="0" borderId="18" xfId="0" applyNumberFormat="1" applyFont="1" applyFill="1" applyBorder="1" applyAlignment="1">
      <alignment horizontal="center" vertical="center"/>
    </xf>
    <xf numFmtId="179" fontId="1" fillId="0" borderId="19" xfId="0" applyNumberFormat="1" applyFont="1" applyFill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179" fontId="1" fillId="5" borderId="19" xfId="0" applyNumberFormat="1" applyFont="1" applyFill="1" applyBorder="1" applyAlignment="1">
      <alignment horizontal="center" vertical="center"/>
    </xf>
    <xf numFmtId="179" fontId="1" fillId="4" borderId="19" xfId="0" applyNumberFormat="1" applyFont="1" applyFill="1" applyBorder="1" applyAlignment="1">
      <alignment horizontal="center" vertical="center"/>
    </xf>
    <xf numFmtId="179" fontId="5" fillId="4" borderId="19" xfId="0" applyNumberFormat="1" applyFont="1" applyFill="1" applyBorder="1" applyAlignment="1">
      <alignment horizontal="center" vertical="center"/>
    </xf>
    <xf numFmtId="179" fontId="1" fillId="0" borderId="20" xfId="0" applyNumberFormat="1" applyFont="1" applyFill="1" applyBorder="1" applyAlignment="1">
      <alignment horizontal="center" vertical="center"/>
    </xf>
    <xf numFmtId="179" fontId="1" fillId="5" borderId="18" xfId="0" applyNumberFormat="1" applyFont="1" applyFill="1" applyBorder="1" applyAlignment="1">
      <alignment horizontal="center" vertical="center"/>
    </xf>
    <xf numFmtId="179" fontId="1" fillId="0" borderId="20" xfId="0" applyNumberFormat="1" applyFont="1" applyBorder="1" applyAlignment="1">
      <alignment horizontal="center" vertical="center"/>
    </xf>
    <xf numFmtId="179" fontId="5" fillId="4" borderId="21" xfId="0" applyNumberFormat="1" applyFont="1" applyFill="1" applyBorder="1" applyAlignment="1">
      <alignment horizontal="center" vertical="center"/>
    </xf>
    <xf numFmtId="179" fontId="5" fillId="4" borderId="18" xfId="0" applyNumberFormat="1" applyFont="1" applyFill="1" applyBorder="1" applyAlignment="1">
      <alignment horizontal="center" vertical="center"/>
    </xf>
    <xf numFmtId="0" fontId="1" fillId="5" borderId="16" xfId="0" applyFont="1" applyFill="1" applyBorder="1" applyAlignment="1">
      <alignment horizontal="left" vertical="center"/>
    </xf>
    <xf numFmtId="0" fontId="1" fillId="5" borderId="17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5" fillId="0" borderId="22" xfId="0" applyFont="1" applyFill="1" applyBorder="1" applyAlignment="1">
      <alignment horizontal="center" vertical="center"/>
    </xf>
    <xf numFmtId="0" fontId="5" fillId="0" borderId="1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23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0" fillId="5" borderId="17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" fillId="6" borderId="11" xfId="0" applyFont="1" applyFill="1" applyBorder="1" applyAlignment="1">
      <alignment horizontal="center" vertical="center"/>
    </xf>
    <xf numFmtId="0" fontId="13" fillId="3" borderId="25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3" fillId="3" borderId="0" xfId="0" applyFont="1" applyFill="1" applyBorder="1" applyAlignment="1">
      <alignment horizontal="center" vertical="center"/>
    </xf>
    <xf numFmtId="179" fontId="1" fillId="5" borderId="17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0" fontId="12" fillId="0" borderId="11" xfId="7" applyFont="1" applyBorder="1" applyAlignment="1">
      <alignment horizontal="center" vertical="center"/>
    </xf>
    <xf numFmtId="0" fontId="12" fillId="5" borderId="1" xfId="7" applyFont="1" applyFill="1" applyBorder="1" applyAlignment="1">
      <alignment horizontal="center" vertical="center"/>
    </xf>
    <xf numFmtId="179" fontId="1" fillId="5" borderId="1" xfId="0" applyNumberFormat="1" applyFont="1" applyFill="1" applyBorder="1" applyAlignment="1">
      <alignment horizontal="center" vertical="center"/>
    </xf>
    <xf numFmtId="179" fontId="1" fillId="6" borderId="1" xfId="0" applyNumberFormat="1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center" vertical="center"/>
    </xf>
    <xf numFmtId="8" fontId="1" fillId="0" borderId="0" xfId="0" applyNumberFormat="1" applyFont="1" applyFill="1" applyBorder="1" applyAlignment="1">
      <alignment horizontal="center" vertical="center"/>
    </xf>
    <xf numFmtId="8" fontId="1" fillId="0" borderId="0" xfId="0" applyNumberFormat="1" applyFont="1" applyFill="1" applyBorder="1" applyAlignment="1">
      <alignment horizontal="center" vertical="center"/>
    </xf>
    <xf numFmtId="179" fontId="1" fillId="0" borderId="21" xfId="0" applyNumberFormat="1" applyFont="1" applyFill="1" applyBorder="1" applyAlignment="1">
      <alignment horizontal="center" vertical="center"/>
    </xf>
    <xf numFmtId="179" fontId="1" fillId="5" borderId="21" xfId="0" applyNumberFormat="1" applyFont="1" applyFill="1" applyBorder="1" applyAlignment="1">
      <alignment horizontal="center" vertical="center"/>
    </xf>
    <xf numFmtId="179" fontId="16" fillId="3" borderId="19" xfId="0" applyNumberFormat="1" applyFont="1" applyFill="1" applyBorder="1" applyAlignment="1">
      <alignment horizontal="center" vertical="center"/>
    </xf>
    <xf numFmtId="179" fontId="1" fillId="0" borderId="19" xfId="0" applyNumberFormat="1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6" fillId="0" borderId="5" xfId="0" applyFont="1" applyFill="1" applyBorder="1" applyAlignment="1" quotePrefix="1">
      <alignment horizontal="left" vertical="center"/>
    </xf>
    <xf numFmtId="0" fontId="6" fillId="0" borderId="6" xfId="0" applyFont="1" applyFill="1" applyBorder="1" applyAlignment="1" quotePrefix="1">
      <alignment horizontal="center" vertical="center"/>
    </xf>
    <xf numFmtId="0" fontId="1" fillId="0" borderId="6" xfId="0" applyFont="1" applyFill="1" applyBorder="1" applyAlignment="1" quotePrefix="1">
      <alignment horizontal="center" vertical="center"/>
    </xf>
    <xf numFmtId="0" fontId="1" fillId="0" borderId="8" xfId="0" applyFont="1" applyFill="1" applyBorder="1" applyAlignment="1" quotePrefix="1">
      <alignment horizontal="left" vertical="center"/>
    </xf>
    <xf numFmtId="0" fontId="1" fillId="0" borderId="1" xfId="0" applyFont="1" applyFill="1" applyBorder="1" applyAlignment="1" quotePrefix="1">
      <alignment horizontal="center" vertical="center"/>
    </xf>
    <xf numFmtId="0" fontId="6" fillId="0" borderId="1" xfId="0" applyFont="1" applyFill="1" applyBorder="1" applyAlignment="1" quotePrefix="1">
      <alignment horizontal="center" vertical="center"/>
    </xf>
    <xf numFmtId="0" fontId="6" fillId="0" borderId="8" xfId="0" applyFont="1" applyFill="1" applyBorder="1" applyAlignment="1" quotePrefix="1">
      <alignment horizontal="left" vertical="center"/>
    </xf>
    <xf numFmtId="0" fontId="1" fillId="0" borderId="1" xfId="0" applyFont="1" applyFill="1" applyBorder="1" applyAlignment="1" quotePrefix="1">
      <alignment horizontal="center" vertical="center" wrapText="1"/>
    </xf>
    <xf numFmtId="0" fontId="7" fillId="0" borderId="1" xfId="0" applyFont="1" applyFill="1" applyBorder="1" applyAlignment="1" quotePrefix="1">
      <alignment horizontal="center" vertical="center"/>
    </xf>
    <xf numFmtId="0" fontId="6" fillId="3" borderId="1" xfId="0" applyFont="1" applyFill="1" applyBorder="1" applyAlignment="1" quotePrefix="1">
      <alignment horizontal="center" vertical="center"/>
    </xf>
    <xf numFmtId="0" fontId="6" fillId="3" borderId="8" xfId="0" applyFont="1" applyFill="1" applyBorder="1" applyAlignment="1" quotePrefix="1">
      <alignment horizontal="left" vertical="center"/>
    </xf>
    <xf numFmtId="0" fontId="9" fillId="3" borderId="1" xfId="0" applyFont="1" applyFill="1" applyBorder="1" applyAlignment="1" quotePrefix="1">
      <alignment horizontal="center" vertical="center"/>
    </xf>
    <xf numFmtId="0" fontId="6" fillId="0" borderId="10" xfId="0" applyFont="1" applyFill="1" applyBorder="1" applyAlignment="1" quotePrefix="1">
      <alignment horizontal="left" vertical="center"/>
    </xf>
    <xf numFmtId="0" fontId="6" fillId="3" borderId="11" xfId="0" applyFont="1" applyFill="1" applyBorder="1" applyAlignment="1" quotePrefix="1">
      <alignment horizontal="center" vertical="center"/>
    </xf>
    <xf numFmtId="0" fontId="6" fillId="0" borderId="11" xfId="0" applyFont="1" applyFill="1" applyBorder="1" applyAlignment="1" quotePrefix="1">
      <alignment horizontal="center" vertical="center"/>
    </xf>
    <xf numFmtId="0" fontId="1" fillId="0" borderId="11" xfId="0" applyFont="1" applyFill="1" applyBorder="1" applyAlignment="1" quotePrefix="1">
      <alignment horizontal="center" vertical="center"/>
    </xf>
    <xf numFmtId="0" fontId="1" fillId="0" borderId="5" xfId="0" applyFont="1" applyFill="1" applyBorder="1" applyAlignment="1" quotePrefix="1">
      <alignment horizontal="left" vertical="center"/>
    </xf>
    <xf numFmtId="0" fontId="1" fillId="0" borderId="10" xfId="0" applyFont="1" applyFill="1" applyBorder="1" applyAlignment="1" quotePrefix="1">
      <alignment horizontal="left" vertical="center"/>
    </xf>
    <xf numFmtId="0" fontId="7" fillId="0" borderId="11" xfId="0" applyFont="1" applyFill="1" applyBorder="1" applyAlignment="1" quotePrefix="1">
      <alignment horizontal="center" vertical="center"/>
    </xf>
    <xf numFmtId="0" fontId="6" fillId="5" borderId="8" xfId="0" applyFont="1" applyFill="1" applyBorder="1" applyAlignment="1" quotePrefix="1">
      <alignment horizontal="left" vertical="center"/>
    </xf>
    <xf numFmtId="0" fontId="6" fillId="5" borderId="1" xfId="0" applyFont="1" applyFill="1" applyBorder="1" applyAlignment="1" quotePrefix="1">
      <alignment horizontal="center" vertical="center"/>
    </xf>
    <xf numFmtId="0" fontId="1" fillId="5" borderId="1" xfId="0" applyFont="1" applyFill="1" applyBorder="1" applyAlignment="1" quotePrefix="1">
      <alignment horizontal="center" vertical="center"/>
    </xf>
    <xf numFmtId="0" fontId="6" fillId="5" borderId="13" xfId="0" applyFont="1" applyFill="1" applyBorder="1" applyAlignment="1" quotePrefix="1">
      <alignment horizontal="left" vertical="center"/>
    </xf>
    <xf numFmtId="0" fontId="6" fillId="5" borderId="14" xfId="0" applyFont="1" applyFill="1" applyBorder="1" applyAlignment="1" quotePrefix="1">
      <alignment horizontal="center" vertical="center"/>
    </xf>
    <xf numFmtId="0" fontId="1" fillId="5" borderId="14" xfId="0" applyFont="1" applyFill="1" applyBorder="1" applyAlignment="1" quotePrefix="1">
      <alignment horizontal="center" vertical="center"/>
    </xf>
    <xf numFmtId="0" fontId="6" fillId="0" borderId="16" xfId="0" applyFont="1" applyFill="1" applyBorder="1" applyAlignment="1" quotePrefix="1">
      <alignment horizontal="left" vertical="center"/>
    </xf>
    <xf numFmtId="0" fontId="6" fillId="3" borderId="17" xfId="0" applyFont="1" applyFill="1" applyBorder="1" applyAlignment="1" quotePrefix="1">
      <alignment horizontal="center" vertical="center"/>
    </xf>
    <xf numFmtId="0" fontId="6" fillId="0" borderId="17" xfId="0" applyFont="1" applyFill="1" applyBorder="1" applyAlignment="1" quotePrefix="1">
      <alignment horizontal="center" vertical="center"/>
    </xf>
    <xf numFmtId="0" fontId="1" fillId="0" borderId="17" xfId="0" applyFont="1" applyFill="1" applyBorder="1" applyAlignment="1" quotePrefix="1">
      <alignment horizontal="center" vertical="center"/>
    </xf>
    <xf numFmtId="0" fontId="6" fillId="3" borderId="6" xfId="0" applyFont="1" applyFill="1" applyBorder="1" applyAlignment="1" quotePrefix="1">
      <alignment horizontal="center" vertical="center"/>
    </xf>
    <xf numFmtId="0" fontId="6" fillId="3" borderId="1" xfId="0" applyFont="1" applyFill="1" applyBorder="1" applyAlignment="1" quotePrefix="1">
      <alignment horizontal="center" vertical="center" wrapText="1"/>
    </xf>
    <xf numFmtId="0" fontId="1" fillId="5" borderId="16" xfId="0" applyFont="1" applyFill="1" applyBorder="1" applyAlignment="1" quotePrefix="1">
      <alignment horizontal="left" vertical="center"/>
    </xf>
    <xf numFmtId="0" fontId="1" fillId="5" borderId="17" xfId="0" applyFont="1" applyFill="1" applyBorder="1" applyAlignment="1" quotePrefix="1">
      <alignment horizontal="center" vertical="center"/>
    </xf>
    <xf numFmtId="0" fontId="6" fillId="5" borderId="17" xfId="0" applyFont="1" applyFill="1" applyBorder="1" applyAlignment="1" quotePrefix="1">
      <alignment horizontal="center" vertical="center"/>
    </xf>
    <xf numFmtId="0" fontId="1" fillId="5" borderId="8" xfId="0" applyFont="1" applyFill="1" applyBorder="1" applyAlignment="1" quotePrefix="1">
      <alignment horizontal="left" vertical="center"/>
    </xf>
    <xf numFmtId="0" fontId="1" fillId="3" borderId="8" xfId="0" applyFont="1" applyFill="1" applyBorder="1" applyAlignment="1" quotePrefix="1">
      <alignment horizontal="left" vertical="center"/>
    </xf>
    <xf numFmtId="0" fontId="1" fillId="3" borderId="1" xfId="0" applyFont="1" applyFill="1" applyBorder="1" applyAlignment="1" quotePrefix="1">
      <alignment horizontal="center" vertical="center"/>
    </xf>
    <xf numFmtId="0" fontId="7" fillId="5" borderId="8" xfId="0" applyFont="1" applyFill="1" applyBorder="1" applyAlignment="1" quotePrefix="1">
      <alignment horizontal="left" vertical="center"/>
    </xf>
    <xf numFmtId="0" fontId="7" fillId="5" borderId="1" xfId="0" applyFont="1" applyFill="1" applyBorder="1" applyAlignment="1" quotePrefix="1">
      <alignment horizontal="center" vertical="center"/>
    </xf>
    <xf numFmtId="0" fontId="10" fillId="6" borderId="1" xfId="0" applyFont="1" applyFill="1" applyBorder="1" applyAlignment="1" quotePrefix="1">
      <alignment horizontal="center" vertical="center"/>
    </xf>
    <xf numFmtId="0" fontId="10" fillId="5" borderId="1" xfId="0" applyFont="1" applyFill="1" applyBorder="1" applyAlignment="1" quotePrefix="1">
      <alignment horizontal="center" vertical="center"/>
    </xf>
    <xf numFmtId="0" fontId="7" fillId="5" borderId="10" xfId="0" applyFont="1" applyFill="1" applyBorder="1" applyAlignment="1" quotePrefix="1">
      <alignment horizontal="left" vertical="center"/>
    </xf>
    <xf numFmtId="0" fontId="7" fillId="5" borderId="11" xfId="0" applyFont="1" applyFill="1" applyBorder="1" applyAlignment="1" quotePrefix="1">
      <alignment horizontal="center" vertical="center"/>
    </xf>
    <xf numFmtId="0" fontId="10" fillId="6" borderId="11" xfId="0" applyFont="1" applyFill="1" applyBorder="1" applyAlignment="1" quotePrefix="1">
      <alignment horizontal="center" vertical="center"/>
    </xf>
    <xf numFmtId="0" fontId="10" fillId="5" borderId="11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Multilayer-Ceramic-Capacitors-MLCC-SMD-SMT_TDK-C1608X5R1V225KT000E_C342978.html" TargetMode="External"/><Relationship Id="rId8" Type="http://schemas.openxmlformats.org/officeDocument/2006/relationships/hyperlink" Target="https://lcsc.com/product-detail/Multilayer-Ceramic-Capacitors-MLCC-SMD-SMT_Taiyo-Yuden-UMK107B7474KA-TR_C92847.html" TargetMode="External"/><Relationship Id="rId77" Type="http://schemas.openxmlformats.org/officeDocument/2006/relationships/hyperlink" Target="https://lcsc.com/product-detail/Aluminum-Electrolytic-Capacitors-SMD_ROQANG-RVT1H471M1213_C90272.html" TargetMode="External"/><Relationship Id="rId76" Type="http://schemas.openxmlformats.org/officeDocument/2006/relationships/hyperlink" Target="https://lcsc.com/product-detail/Aluminum-Electrolytic-Capacitors-SMD_Nichicon-UCD1H221MNL1GS_C116211.html" TargetMode="External"/><Relationship Id="rId75" Type="http://schemas.openxmlformats.org/officeDocument/2006/relationships/hyperlink" Target="https://lcsc.com/product-detail/Pin-Headers_XKB-Connectivity-X6511WV-02H-C30D60_C706874.html" TargetMode="External"/><Relationship Id="rId74" Type="http://schemas.openxmlformats.org/officeDocument/2006/relationships/hyperlink" Target="https://www.onlinecomponents.com/en/sparkfun-electronics/prt10474-55170162.html?utm_source=digipart&amp;utm_medium=referral&amp;ref=digipartFeed&amp;utm_term=PRT-10474#" TargetMode="External"/><Relationship Id="rId73" Type="http://schemas.openxmlformats.org/officeDocument/2006/relationships/hyperlink" Target="https://lcsc.com/product-detail/Wire-To-Board-Wire-To-Wire-Connector_JST-Sales-America-B4B-XH-A-LF-SN_C144395.html" TargetMode="External"/><Relationship Id="rId72" Type="http://schemas.openxmlformats.org/officeDocument/2006/relationships/hyperlink" Target="https://www.onlinecomponents.com/en/te-connectivity-amp-brand/55204252-10429521.html" TargetMode="External"/><Relationship Id="rId71" Type="http://schemas.openxmlformats.org/officeDocument/2006/relationships/hyperlink" Target="https://lcsc.com/product-detail/USB-Connectors_SOFNG-MC-318_C183608.htmlLCSC" TargetMode="External"/><Relationship Id="rId70" Type="http://schemas.openxmlformats.org/officeDocument/2006/relationships/hyperlink" Target="https://lcsc.com/product-detail/Buffers-Drivers_Texas-Instruments-SN74LVTH125PWR_C7042.html" TargetMode="External"/><Relationship Id="rId7" Type="http://schemas.openxmlformats.org/officeDocument/2006/relationships/hyperlink" Target="https://lcsc.com/product-detail/Multilayer-Ceramic-Capacitors-MLCC-SMD-SMT_YAGEO-CC0603KRX5R8BB105_C14664.html" TargetMode="External"/><Relationship Id="rId69" Type="http://schemas.openxmlformats.org/officeDocument/2006/relationships/hyperlink" Target="https://pt.aliexpress.com/item/1005003617046743.html?spm=a2g0o.productlist.0.0.3f9d511662DX1d&amp;algo_pvid=35657f20-8661-40eb-893a-e51de6809dfc&amp;algo_exp_id=35657f20-8661-40eb-893a-e51de6809dfc-0&amp;pdp_ext_f=%7B%22sku_id%22%3A%2212000026513966327%22%7D&amp;pdp_pi=-" TargetMode="External"/><Relationship Id="rId68" Type="http://schemas.openxmlformats.org/officeDocument/2006/relationships/hyperlink" Target="https://pt.aliexpress.com/item/1005004043847127.html?spm=a2g0o.productlist.0.0.69a64d3dyWnIM6&amp;algo_pvid=e422f8d9-675f-4947-ad05-2953a4079ac0&amp;algo_exp_id=e422f8d9-675f-4947-ad05-2953a4079ac0-0&amp;pdp_ext_f=%7B%22sku_id%22%3A%2212000027839993005%22%7D&amp;pdp_pi=-" TargetMode="External"/><Relationship Id="rId67" Type="http://schemas.openxmlformats.org/officeDocument/2006/relationships/hyperlink" Target="https://pt.aliexpress.com/item/1005003466601594.html?spm=a2g0o.productlist.0.0.2dce509eaPpUUg&amp;algo_pvid=0e652b27-2baf-4f99-bed4-d4f796e645bc&amp;algo_exp_id=0e652b27-2baf-4f99-bed4-d4f796e645bc-2&amp;pdp_ext_f=%7B%22sku_id%22%3A%2212000025916355896%22%7D&amp;pdp_pi=-" TargetMode="External"/><Relationship Id="rId66" Type="http://schemas.openxmlformats.org/officeDocument/2006/relationships/hyperlink" Target="https://pt.aliexpress.com/item/1005003581889217.html?spm=a2g0o.productlist.0.0.1bf877e6nqOopc&amp;algo_pvid=ca59a7c4-3c49-47ff-8364-163da03c06f2&amp;algo_exp_id=ca59a7c4-3c49-47ff-8364-163da03c06f2-2&amp;pdp_ext_f=%7B%22sku_id%22%3A%2212000026369141443%22%7D&amp;pdp_pi=-" TargetMode="External"/><Relationship Id="rId65" Type="http://schemas.openxmlformats.org/officeDocument/2006/relationships/hyperlink" Target="https://lcsc.com/product-detail/DC-DC-Converters_Texas-Instruments-MC34063ADR_C100023.html" TargetMode="External"/><Relationship Id="rId64" Type="http://schemas.openxmlformats.org/officeDocument/2006/relationships/hyperlink" Target="https://pt.aliexpress.com/item/1005003700427498.html?spm=a2g0o.productlist.0.0.581c1ecdAFRarR&amp;algo_pvid=b5d43d1a-96ae-4206-9e95-86aa7404a4d6&amp;algo_exp_id=b5d43d1a-96ae-4206-9e95-86aa7404a4d6-12&amp;pdp_ext_f=%7B%22sku_id%22%3A%2212000026855423010%22%7D&amp;pdp_pi=" TargetMode="External"/><Relationship Id="rId63" Type="http://schemas.openxmlformats.org/officeDocument/2006/relationships/hyperlink" Target="https://pt.aliexpress.com/item/1005003624900465.html?spm=a2g0o.productlist.0.0.27ce2831Qb50i8&amp;algo_pvid=b6158dbf-bd41-466a-861c-edb7573bf985&amp;algo_exp_id=b6158dbf-bd41-466a-861c-edb7573bf985-1&amp;pdp_ext_f=%7B%22sku_id%22%3A%2212000026546853686%22%7D&amp;pdp_pi=-" TargetMode="External"/><Relationship Id="rId62" Type="http://schemas.openxmlformats.org/officeDocument/2006/relationships/hyperlink" Target="https://pt.aliexpress.com/item/1005003784579870.html?spm=a2g0o.productlist.0.0.3907136aDlabBR&amp;algo_pvid=46f53544-5ee0-40d5-8cce-a80abc9c0cc9&amp;algo_exp_id=46f53544-5ee0-40d5-8cce-a80abc9c0cc9-11&amp;pdp_ext_f=%7B%22sku_id%22%3A%2212000027158644448%22%7D&amp;pdp_pi=" TargetMode="External"/><Relationship Id="rId61" Type="http://schemas.openxmlformats.org/officeDocument/2006/relationships/hyperlink" Target="https://www.win-source.net/texas-instruments-lm5160adntr.html" TargetMode="External"/><Relationship Id="rId60" Type="http://schemas.openxmlformats.org/officeDocument/2006/relationships/hyperlink" Target="https://pt.aliexpress.com/item/1005002824489337.html?gatewayAdapt=glo2bra&amp;spm=a2g0o.search0304.0.0.6a786872zrYtzx&amp;aem_p4p_detail=20210709080314396911621568870006263664" TargetMode="External"/><Relationship Id="rId6" Type="http://schemas.openxmlformats.org/officeDocument/2006/relationships/hyperlink" Target="https://lcsc.com/product-detail/Multilayer-Ceramic-Capacitors-MLCC-SMD-SMT_Taiyo-Yuden-HMK212BC7105KGHTE_C385977.html" TargetMode="External"/><Relationship Id="rId59" Type="http://schemas.openxmlformats.org/officeDocument/2006/relationships/hyperlink" Target="https://lcsc.com/product-detail/Chip-Resistor-Surface-Mount_YAGEO-RC0603FR-0710KL_C98220.html" TargetMode="External"/><Relationship Id="rId58" Type="http://schemas.openxmlformats.org/officeDocument/2006/relationships/hyperlink" Target="https://lcsc.com/product-detail/Chip-Resistor-Surface-Mount_RALEC-RTT03R330FTP_C103893.html" TargetMode="External"/><Relationship Id="rId57" Type="http://schemas.openxmlformats.org/officeDocument/2006/relationships/hyperlink" Target="https://lcsc.com/product-detail/Chip-Resistor-Surface-Mount_UNI-ROYAL-Uniroyal-Elec-0603WAF1201T5E_C22765.html" TargetMode="External"/><Relationship Id="rId56" Type="http://schemas.openxmlformats.org/officeDocument/2006/relationships/hyperlink" Target="https://lcsc.com/product-detail/Chip-Resistor-Surface-Mount_PANASONIC-ERJ3EKF9092V_C403390.html" TargetMode="External"/><Relationship Id="rId55" Type="http://schemas.openxmlformats.org/officeDocument/2006/relationships/hyperlink" Target="https://lcsc.com/product-detail/Chip-Resistor-Surface-Mount_YAGEO-RC0201FR-071ML_C295786.html" TargetMode="External"/><Relationship Id="rId54" Type="http://schemas.openxmlformats.org/officeDocument/2006/relationships/hyperlink" Target="https://lcsc.com/product-detail/Chip-Resistor-Surface-Mount_PANASONIC-ERA3AEB5112V_C491138.html" TargetMode="External"/><Relationship Id="rId53" Type="http://schemas.openxmlformats.org/officeDocument/2006/relationships/hyperlink" Target="https://lcsc.com/product-detail/Chip-Resistor-Surface-Mount_YAGEO-RC0603FR-07240RL_C114613.html" TargetMode="External"/><Relationship Id="rId52" Type="http://schemas.openxmlformats.org/officeDocument/2006/relationships/hyperlink" Target="https://lcsc.com/product-detail/Chip-Resistor-Surface-Mount_YAGEO-RT0603BRE07301KL_C326750.html" TargetMode="External"/><Relationship Id="rId51" Type="http://schemas.openxmlformats.org/officeDocument/2006/relationships/hyperlink" Target="https://lcsc.com/product-detail/Chip-Resistor-Surface-Mount_YAGEO-RC0201FR-0710KL_C106225.html" TargetMode="External"/><Relationship Id="rId50" Type="http://schemas.openxmlformats.org/officeDocument/2006/relationships/hyperlink" Target="https://lcsc.com/product-detail/Chip-Resistor-Surface-Mount_YAGEO-RT0603FRE07127KL_C706120.html" TargetMode="External"/><Relationship Id="rId5" Type="http://schemas.openxmlformats.org/officeDocument/2006/relationships/hyperlink" Target="https://lcsc.com/product-detail/Multilayer-Ceramic-Capacitors-MLCC-SMD-SMT_YAGEO-CC0402KRX7R8BB103_C327025.html" TargetMode="External"/><Relationship Id="rId49" Type="http://schemas.openxmlformats.org/officeDocument/2006/relationships/hyperlink" Target="https://lcsc.com/product-detail/Chip-Resistor-Surface-Mount_YAGEO-RC0603FR-07105KL_C141685.html" TargetMode="External"/><Relationship Id="rId48" Type="http://schemas.openxmlformats.org/officeDocument/2006/relationships/hyperlink" Target="https://lcsc.com/product-detail/Chip-Resistor-Surface-Mount_YAGEO-AC0603FR-0711K8L_C227561.html" TargetMode="External"/><Relationship Id="rId47" Type="http://schemas.openxmlformats.org/officeDocument/2006/relationships/hyperlink" Target="https://lcsc.com/product-detail/Chip-Resistor-Surface-Mount_PANASONIC-ERJ3EKF1430V_C400649.html" TargetMode="External"/><Relationship Id="rId46" Type="http://schemas.openxmlformats.org/officeDocument/2006/relationships/hyperlink" Target="https://lcsc.com/product-detail/Chip-Resistor-Surface-Mount_YAGEO-RC0603FR-0712K4L_C137798.html" TargetMode="External"/><Relationship Id="rId45" Type="http://schemas.openxmlformats.org/officeDocument/2006/relationships/hyperlink" Target="https://lcsc.com/product-detail/Chip-Resistor-Surface-Mount_UNI-ROYAL-Uniroyal-Elec-0603WAJ022JT5E_C25226.html" TargetMode="External"/><Relationship Id="rId44" Type="http://schemas.openxmlformats.org/officeDocument/2006/relationships/hyperlink" Target="https://lcsc.com/product-detail/Chip-Resistor-Surface-Mount_YAGEO-RC0603FR-0711KL_C137801.html" TargetMode="External"/><Relationship Id="rId43" Type="http://schemas.openxmlformats.org/officeDocument/2006/relationships/hyperlink" Target="https://lcsc.com/product-detail/Chip-Resistor-Surface-Mount_FOJAN-FRC0603F3011TS_C2933193.html" TargetMode="External"/><Relationship Id="rId42" Type="http://schemas.openxmlformats.org/officeDocument/2006/relationships/hyperlink" Target="https://lcsc.com/product-detail/Chip-Resistor-Surface-Mount_YAGEO-RC0603FR-07150RL_C114608.html" TargetMode="External"/><Relationship Id="rId41" Type="http://schemas.openxmlformats.org/officeDocument/2006/relationships/hyperlink" Target="https://lcsc.com/product-detail/Current-Sense-Resistors-Shunt-Resistors_prosemi-LMP25NF2P0R033_C2838960.html" TargetMode="External"/><Relationship Id="rId40" Type="http://schemas.openxmlformats.org/officeDocument/2006/relationships/hyperlink" Target="https://lcsc.com/product-detail/Chip-Resistor-Surface-Mount_YAGEO-RC0603FR-0747RL_C114623.html" TargetMode="External"/><Relationship Id="rId4" Type="http://schemas.openxmlformats.org/officeDocument/2006/relationships/hyperlink" Target="https://lcsc.com/product-detail/Multilayer-Ceramic-Capacitors-MLCC-SMD-SMT_Murata-Electronics-GRM155R61H474KE11D_C437527.html" TargetMode="External"/><Relationship Id="rId39" Type="http://schemas.openxmlformats.org/officeDocument/2006/relationships/hyperlink" Target="https://lcsc.com/product-detail/Chip-Resistor-Surface-Mount_YAGEO-RC0603FR-072KL_C105576.html" TargetMode="External"/><Relationship Id="rId38" Type="http://schemas.openxmlformats.org/officeDocument/2006/relationships/hyperlink" Target="https://lcsc.com/product-detail/Chip-Resistor-Surface-Mount_YAGEO-RC0603FR-070RL_C100044.html" TargetMode="External"/><Relationship Id="rId37" Type="http://schemas.openxmlformats.org/officeDocument/2006/relationships/hyperlink" Target="https://lcsc.com/product-detail/Chip-Resistor-Surface-Mount_YAGEO-RC0603FR-073K9L_C114616.html" TargetMode="External"/><Relationship Id="rId36" Type="http://schemas.openxmlformats.org/officeDocument/2006/relationships/hyperlink" Target="https://lcsc.com/product-detail/Chip-Resistor-Surface-Mount_YAGEO-RC0603JR-075K1L_C14677.html" TargetMode="External"/><Relationship Id="rId35" Type="http://schemas.openxmlformats.org/officeDocument/2006/relationships/hyperlink" Target="https://pt.aliexpress.com/item/1005003584851269.html?spm=a2g0o.productlist.0.0.14ec31eekdiOrc&amp;algo_pvid=5dc907e3-04ac-4ed4-93cf-2cd61c628790&amp;algo_exp_id=5dc907e3-04ac-4ed4-93cf-2cd61c628790-2&amp;pdp_ext_f=%7B%22sku_id%22%3A%2212000026380464418%22%7D&amp;pdp_pi=-" TargetMode="External"/><Relationship Id="rId34" Type="http://schemas.openxmlformats.org/officeDocument/2006/relationships/hyperlink" Target="https://lcsc.com/product-detail/Ferrite-Beads_Murata-Electronics-BLM18EG101TN1D_C76893.html" TargetMode="External"/><Relationship Id="rId33" Type="http://schemas.openxmlformats.org/officeDocument/2006/relationships/hyperlink" Target="https://lcsc.com/product-detail/Power-Inductors_microgate-MPIT4018-150M-LF_C281265.html" TargetMode="External"/><Relationship Id="rId32" Type="http://schemas.openxmlformats.org/officeDocument/2006/relationships/hyperlink" Target="https://lcsc.com/product-detail/Power-Inductors_TDK-SLF12575T-221M1R3-PF_C93225.html" TargetMode="External"/><Relationship Id="rId31" Type="http://schemas.openxmlformats.org/officeDocument/2006/relationships/hyperlink" Target="https://lcsc.com/product-detail/Light-Emitting-Diodes-LED_Worldsemi-WS2812B-Mini_C527089.html" TargetMode="External"/><Relationship Id="rId30" Type="http://schemas.openxmlformats.org/officeDocument/2006/relationships/hyperlink" Target="https://lcsc.com/product-detail/Schottky-Barrier-Diodes-SBD_Yangzhou-Yangjie-Elec-Tech-SS24A_C211773.html" TargetMode="External"/><Relationship Id="rId3" Type="http://schemas.openxmlformats.org/officeDocument/2006/relationships/hyperlink" Target="https://lcsc.com/product-detail/Multilayer-Ceramic-Capacitors-MLCC-SMD-SMT_Samsung-Electro-Mechanics-CL05B104KB54PNC_C307331.html" TargetMode="External"/><Relationship Id="rId29" Type="http://schemas.openxmlformats.org/officeDocument/2006/relationships/hyperlink" Target="https://lcsc.com/product-detail/Schottky-Barrier-Diodes-SBD_Yangzhou-Yangjie-Elec-Tech-SSL110A_C698870.html" TargetMode="External"/><Relationship Id="rId28" Type="http://schemas.openxmlformats.org/officeDocument/2006/relationships/hyperlink" Target="https://lcsc.com/product-detail/Schottky-Barrier-Diodes-SBD_TOSHIBA-CUS10S30-H3F_C146335.html" TargetMode="External"/><Relationship Id="rId27" Type="http://schemas.openxmlformats.org/officeDocument/2006/relationships/hyperlink" Target="https://lcsc.com/product-detail/Light-Emitting-Diodes-LED_Everlight-Elec-16-213-GHC-YR1S1-3T_C74338.html" TargetMode="External"/><Relationship Id="rId26" Type="http://schemas.openxmlformats.org/officeDocument/2006/relationships/hyperlink" Target="https://www.verical.com/pd/lite-on-electronics-low-power-led--below-100ma--LTST-G683GEBW-2087763?utm_term=LTST-G683GEBW&amp;utm_source=digipart&amp;utm_medium=aggregator&amp;utm_campaign=digipart_2018&amp;utm_content=inv_listing" TargetMode="External"/><Relationship Id="rId25" Type="http://schemas.openxmlformats.org/officeDocument/2006/relationships/hyperlink" Target="https://lcsc.com/product-detail/Multilayer-Ceramic-Capacitors-MLCC-SMD-SMT_Samsung-Electro-Mechanics-CL10B102KC8NNNC_C153291.html" TargetMode="External"/><Relationship Id="rId24" Type="http://schemas.openxmlformats.org/officeDocument/2006/relationships/hyperlink" Target="https://lcsc.com/product-detail/Multilayer-Ceramic-Capacitors-MLCC-SMD-SMT_CCTC-TCC0603X7R223K101CT_C376821.html" TargetMode="External"/><Relationship Id="rId23" Type="http://schemas.openxmlformats.org/officeDocument/2006/relationships/hyperlink" Target="https://lcsc.com/product-detail/Multilayer-Ceramic-Capacitors-MLCC-SMD-SMT_Taiyo-Yuden-GMK212BJ224KGHT_C524973.html" TargetMode="External"/><Relationship Id="rId22" Type="http://schemas.openxmlformats.org/officeDocument/2006/relationships/hyperlink" Target="https://lcsc.com/product-detail/Multilayer-Ceramic-Capacitors-MLCC-SMD-SMT_FH-Guangdong-Fenghua-Advanced-Tech-0805B224K101NT_C967578.html" TargetMode="External"/><Relationship Id="rId21" Type="http://schemas.openxmlformats.org/officeDocument/2006/relationships/hyperlink" Target="https://lcsc.com/product-detail/Multilayer-Ceramic-Capacitors-MLCC-SMD-SMT_YAGEO-CC0603KRX7R0BB104_C113803.html" TargetMode="External"/><Relationship Id="rId20" Type="http://schemas.openxmlformats.org/officeDocument/2006/relationships/hyperlink" Target="https://lcsc.com/product-detail/Multilayer-Ceramic-Capacitors-MLCC-SMD-SMT_YAGEO-CC0603KRX7R9BB203_C282065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9" Type="http://schemas.openxmlformats.org/officeDocument/2006/relationships/hyperlink" Target="https://lcsc.com/product-detail/Multilayer-Ceramic-Capacitors-MLCC-SMD-SMT_Murata-Electronics-GRM31CR61E476ME44L_C403725.html" TargetMode="External"/><Relationship Id="rId18" Type="http://schemas.openxmlformats.org/officeDocument/2006/relationships/hyperlink" Target="https://lcsc.com/product-detail/Multilayer-Ceramic-Capacitors-MLCC-SMD-SMT_YAGEO-CC0603JRNPO9BN680_C62782.html" TargetMode="External"/><Relationship Id="rId17" Type="http://schemas.openxmlformats.org/officeDocument/2006/relationships/hyperlink" Target="https://lcsc.com/product-detail/Multilayer-Ceramic-Capacitors-MLCC-SMD-SMT_Taiyo-Yuden-HMK325C7475KN-TE_C697607.html" TargetMode="External"/><Relationship Id="rId16" Type="http://schemas.openxmlformats.org/officeDocument/2006/relationships/hyperlink" Target="https://lcsc.com/product-detail/Multilayer-Ceramic-Capacitors-MLCC-SMD-SMT_YAGEO-CC0603KRX7R9BB222_C107082.html" TargetMode="External"/><Relationship Id="rId15" Type="http://schemas.openxmlformats.org/officeDocument/2006/relationships/hyperlink" Target="https://lcsc.com/product-detail/Multilayer-Ceramic-Capacitors-MLCC-SMD-SMT_YAGEO-CC0603KRX7R9BB471_C107092.html" TargetMode="External"/><Relationship Id="rId14" Type="http://schemas.openxmlformats.org/officeDocument/2006/relationships/hyperlink" Target="https://lcsc.com/product-detail/Tantalum-Capacitors_AVX-TAJE107M025RNJ_C7230.html" TargetMode="External"/><Relationship Id="rId13" Type="http://schemas.openxmlformats.org/officeDocument/2006/relationships/hyperlink" Target="https://lcsc.com/product-detail/Multilayer-Ceramic-Capacitors-MLCC-SMD-SMT_TDK-CGA2B3X7S2A102KT0Y0F_C445751.html" TargetMode="External"/><Relationship Id="rId12" Type="http://schemas.openxmlformats.org/officeDocument/2006/relationships/hyperlink" Target="https://lcsc.com/product-detail/Multilayer-Ceramic-Capacitors-MLCC-SMD-SMT_Samsung-Electro-Mechanics-CL10A475KA8NQNC_C69335.html" TargetMode="External"/><Relationship Id="rId11" Type="http://schemas.openxmlformats.org/officeDocument/2006/relationships/hyperlink" Target="https://lcsc.com/product-detail/Multilayer-Ceramic-Capacitors-MLCC-SMD-SMT_YAGEO-CC0603KRX7R9BB823_C107100.html" TargetMode="External"/><Relationship Id="rId10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Aluminum-Electrolytic-Capacitors-SMD_Ymin-VKME1451J221MV_C4873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88"/>
  <sheetViews>
    <sheetView tabSelected="1" topLeftCell="S57" workbookViewId="0">
      <selection activeCell="AB83" sqref="AB83"/>
    </sheetView>
  </sheetViews>
  <sheetFormatPr defaultColWidth="9" defaultRowHeight="12.75"/>
  <cols>
    <col min="1" max="1" width="6.14285714285714" style="1" customWidth="1"/>
    <col min="2" max="2" width="12.2857142857143" style="1" customWidth="1"/>
    <col min="3" max="3" width="44.2857142857143" style="1" customWidth="1"/>
    <col min="4" max="4" width="27.7142857142857" style="1" customWidth="1"/>
    <col min="5" max="5" width="18.5714285714286" style="1" customWidth="1"/>
    <col min="6" max="6" width="28.5714285714286" style="1" customWidth="1"/>
    <col min="7" max="7" width="28.2857142857143" style="1" customWidth="1"/>
    <col min="8" max="8" width="29.7142857142857" style="1" customWidth="1"/>
    <col min="9" max="9" width="13.4285714285714" style="1" customWidth="1"/>
    <col min="10" max="10" width="6.28571428571429" style="1" customWidth="1"/>
    <col min="11" max="11" width="19.4285714285714" style="1" customWidth="1"/>
    <col min="12" max="19" width="18" style="1" customWidth="1"/>
    <col min="20" max="20" width="11.5714285714286" style="1" customWidth="1"/>
    <col min="21" max="21" width="12.1428571428571" style="1" customWidth="1"/>
    <col min="22" max="22" width="18.7142857142857" style="1" customWidth="1"/>
    <col min="23" max="23" width="12.5714285714286" style="1" customWidth="1"/>
    <col min="24" max="24" width="19.7142857142857" style="1" customWidth="1"/>
    <col min="25" max="25" width="13.7142857142857" style="1" customWidth="1"/>
    <col min="26" max="26" width="20.7142857142857" style="1" customWidth="1"/>
    <col min="27" max="27" width="14.7142857142857" style="1" customWidth="1"/>
    <col min="28" max="28" width="50.7142857142857" style="1" customWidth="1"/>
    <col min="29" max="16384" width="9" style="1"/>
  </cols>
  <sheetData>
    <row r="1" s="1" customFormat="1" ht="15.75" spans="1:28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="1" customFormat="1" ht="15.75" spans="1:28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67" t="s">
        <v>22</v>
      </c>
      <c r="W2" s="4" t="s">
        <v>23</v>
      </c>
      <c r="X2" s="67" t="s">
        <v>24</v>
      </c>
      <c r="Y2" s="4" t="s">
        <v>25</v>
      </c>
      <c r="Z2" s="67" t="s">
        <v>26</v>
      </c>
      <c r="AA2" s="4" t="s">
        <v>27</v>
      </c>
      <c r="AB2" s="93" t="s">
        <v>28</v>
      </c>
    </row>
    <row r="3" s="1" customFormat="1" spans="1:28">
      <c r="A3" s="6">
        <v>1</v>
      </c>
      <c r="B3" s="7" t="s">
        <v>29</v>
      </c>
      <c r="C3" s="148" t="s">
        <v>30</v>
      </c>
      <c r="D3" s="9" t="s">
        <v>31</v>
      </c>
      <c r="E3" s="149" t="s">
        <v>32</v>
      </c>
      <c r="F3" s="149" t="s">
        <v>33</v>
      </c>
      <c r="G3" s="149" t="s">
        <v>34</v>
      </c>
      <c r="H3" s="150" t="s">
        <v>35</v>
      </c>
      <c r="I3" s="10" t="s">
        <v>36</v>
      </c>
      <c r="J3" s="149" t="s">
        <v>37</v>
      </c>
      <c r="K3" s="10">
        <v>1</v>
      </c>
      <c r="L3" s="11">
        <f t="shared" ref="L3:L66" si="0">K3*5</f>
        <v>5</v>
      </c>
      <c r="M3" s="11">
        <f t="shared" ref="M3:M66" si="1">K3*25</f>
        <v>25</v>
      </c>
      <c r="N3" s="11">
        <f t="shared" ref="N3:N66" si="2">K3*100</f>
        <v>100</v>
      </c>
      <c r="O3" s="51">
        <v>5</v>
      </c>
      <c r="P3" s="51">
        <v>10</v>
      </c>
      <c r="Q3" s="51">
        <v>30</v>
      </c>
      <c r="R3" s="51">
        <v>105</v>
      </c>
      <c r="S3" s="68" t="s">
        <v>38</v>
      </c>
      <c r="T3" s="69">
        <v>0.2609</v>
      </c>
      <c r="U3" s="70">
        <f>T3*O3</f>
        <v>1.3045</v>
      </c>
      <c r="V3" s="69">
        <v>0.2224</v>
      </c>
      <c r="W3" s="70">
        <f>V3*P3</f>
        <v>2.224</v>
      </c>
      <c r="X3" s="69">
        <v>0.1946</v>
      </c>
      <c r="Y3" s="70">
        <f>X3*Q3</f>
        <v>5.838</v>
      </c>
      <c r="Z3" s="69">
        <v>0.1716</v>
      </c>
      <c r="AA3" s="70">
        <f>Z3*R3</f>
        <v>18.018</v>
      </c>
      <c r="AB3" s="94"/>
    </row>
    <row r="4" s="1" customFormat="1" spans="1:28">
      <c r="A4" s="6">
        <f>A3+1</f>
        <v>2</v>
      </c>
      <c r="B4" s="12"/>
      <c r="C4" s="151" t="s">
        <v>39</v>
      </c>
      <c r="D4" s="152" t="s">
        <v>40</v>
      </c>
      <c r="E4" s="153" t="s">
        <v>32</v>
      </c>
      <c r="F4" s="152" t="s">
        <v>41</v>
      </c>
      <c r="G4" s="152" t="s">
        <v>42</v>
      </c>
      <c r="H4" s="152" t="s">
        <v>35</v>
      </c>
      <c r="I4" s="49" t="s">
        <v>43</v>
      </c>
      <c r="J4" s="152" t="s">
        <v>37</v>
      </c>
      <c r="K4" s="14">
        <v>1</v>
      </c>
      <c r="L4" s="14">
        <f t="shared" si="0"/>
        <v>5</v>
      </c>
      <c r="M4" s="14">
        <f t="shared" si="1"/>
        <v>25</v>
      </c>
      <c r="N4" s="14">
        <f t="shared" si="2"/>
        <v>100</v>
      </c>
      <c r="O4" s="52">
        <v>5</v>
      </c>
      <c r="P4" s="52">
        <v>10</v>
      </c>
      <c r="Q4" s="52">
        <v>30</v>
      </c>
      <c r="R4" s="52">
        <v>105</v>
      </c>
      <c r="S4" s="71" t="s">
        <v>38</v>
      </c>
      <c r="T4" s="72">
        <v>0.4137</v>
      </c>
      <c r="U4" s="73">
        <f t="shared" ref="U4:U35" si="3">T4*O4</f>
        <v>2.0685</v>
      </c>
      <c r="V4" s="72">
        <v>0.3562</v>
      </c>
      <c r="W4" s="73">
        <f t="shared" ref="W4:W35" si="4">V4*P4</f>
        <v>3.562</v>
      </c>
      <c r="X4" s="72">
        <v>0.3146</v>
      </c>
      <c r="Y4" s="73">
        <f t="shared" ref="Y4:Y35" si="5">X4*Q4</f>
        <v>9.438</v>
      </c>
      <c r="Z4" s="72">
        <v>0.2802</v>
      </c>
      <c r="AA4" s="73">
        <f t="shared" ref="AA4:AA35" si="6">Z4*R4</f>
        <v>29.421</v>
      </c>
      <c r="AB4" s="95"/>
    </row>
    <row r="5" s="1" customFormat="1" ht="25.5" spans="1:28">
      <c r="A5" s="6">
        <f t="shared" ref="A5:A36" si="7">A4+1</f>
        <v>3</v>
      </c>
      <c r="B5" s="12"/>
      <c r="C5" s="154" t="s">
        <v>44</v>
      </c>
      <c r="D5" s="155" t="s">
        <v>45</v>
      </c>
      <c r="E5" s="153" t="s">
        <v>46</v>
      </c>
      <c r="F5" s="153" t="s">
        <v>47</v>
      </c>
      <c r="G5" s="153" t="s">
        <v>48</v>
      </c>
      <c r="H5" s="152" t="s">
        <v>35</v>
      </c>
      <c r="I5" s="53" t="s">
        <v>49</v>
      </c>
      <c r="J5" s="153" t="s">
        <v>50</v>
      </c>
      <c r="K5" s="15">
        <v>9</v>
      </c>
      <c r="L5" s="14">
        <f t="shared" si="0"/>
        <v>45</v>
      </c>
      <c r="M5" s="14">
        <f t="shared" si="1"/>
        <v>225</v>
      </c>
      <c r="N5" s="14">
        <f t="shared" si="2"/>
        <v>900</v>
      </c>
      <c r="O5" s="54">
        <v>100</v>
      </c>
      <c r="P5" s="54">
        <v>100</v>
      </c>
      <c r="Q5" s="54">
        <v>300</v>
      </c>
      <c r="R5" s="54">
        <v>1000</v>
      </c>
      <c r="S5" s="74" t="s">
        <v>38</v>
      </c>
      <c r="T5" s="75">
        <v>0.0028</v>
      </c>
      <c r="U5" s="73">
        <f t="shared" si="3"/>
        <v>0.28</v>
      </c>
      <c r="V5" s="75">
        <v>0.0028</v>
      </c>
      <c r="W5" s="73">
        <f t="shared" si="4"/>
        <v>0.28</v>
      </c>
      <c r="X5" s="75">
        <v>0.0028</v>
      </c>
      <c r="Y5" s="73">
        <f t="shared" si="5"/>
        <v>0.84</v>
      </c>
      <c r="Z5" s="75">
        <v>0.0023</v>
      </c>
      <c r="AA5" s="73">
        <f t="shared" si="6"/>
        <v>2.3</v>
      </c>
      <c r="AB5" s="95"/>
    </row>
    <row r="6" s="1" customFormat="1" spans="1:28">
      <c r="A6" s="6">
        <f t="shared" si="7"/>
        <v>4</v>
      </c>
      <c r="B6" s="12"/>
      <c r="C6" s="151" t="s">
        <v>51</v>
      </c>
      <c r="D6" s="152" t="s">
        <v>52</v>
      </c>
      <c r="E6" s="152" t="s">
        <v>53</v>
      </c>
      <c r="F6" s="152" t="s">
        <v>54</v>
      </c>
      <c r="G6" s="152" t="s">
        <v>48</v>
      </c>
      <c r="H6" s="152" t="s">
        <v>35</v>
      </c>
      <c r="I6" s="55" t="s">
        <v>55</v>
      </c>
      <c r="J6" s="152" t="s">
        <v>56</v>
      </c>
      <c r="K6" s="14">
        <v>2</v>
      </c>
      <c r="L6" s="14">
        <f t="shared" si="0"/>
        <v>10</v>
      </c>
      <c r="M6" s="14">
        <f t="shared" si="1"/>
        <v>50</v>
      </c>
      <c r="N6" s="14">
        <f t="shared" si="2"/>
        <v>200</v>
      </c>
      <c r="O6" s="54">
        <v>50</v>
      </c>
      <c r="P6" s="54">
        <v>50</v>
      </c>
      <c r="Q6" s="54">
        <v>10</v>
      </c>
      <c r="R6" s="54">
        <v>250</v>
      </c>
      <c r="S6" s="74" t="s">
        <v>38</v>
      </c>
      <c r="T6" s="75">
        <v>0.0068</v>
      </c>
      <c r="U6" s="73">
        <f t="shared" si="3"/>
        <v>0.34</v>
      </c>
      <c r="V6" s="75">
        <v>0.0068</v>
      </c>
      <c r="W6" s="73">
        <f t="shared" si="4"/>
        <v>0.34</v>
      </c>
      <c r="X6" s="75">
        <v>0.0068</v>
      </c>
      <c r="Y6" s="73">
        <f t="shared" si="5"/>
        <v>0.068</v>
      </c>
      <c r="Z6" s="75">
        <v>0.0068</v>
      </c>
      <c r="AA6" s="73">
        <f t="shared" si="6"/>
        <v>1.7</v>
      </c>
      <c r="AB6" s="95"/>
    </row>
    <row r="7" s="1" customFormat="1" spans="1:28">
      <c r="A7" s="6">
        <f t="shared" si="7"/>
        <v>5</v>
      </c>
      <c r="B7" s="12"/>
      <c r="C7" s="151" t="s">
        <v>57</v>
      </c>
      <c r="D7" s="152" t="s">
        <v>58</v>
      </c>
      <c r="E7" s="152" t="s">
        <v>53</v>
      </c>
      <c r="F7" s="152" t="s">
        <v>59</v>
      </c>
      <c r="G7" s="152" t="s">
        <v>60</v>
      </c>
      <c r="H7" s="152" t="s">
        <v>35</v>
      </c>
      <c r="I7" s="56" t="s">
        <v>61</v>
      </c>
      <c r="J7" s="152" t="s">
        <v>62</v>
      </c>
      <c r="K7" s="14">
        <v>1</v>
      </c>
      <c r="L7" s="14">
        <f t="shared" si="0"/>
        <v>5</v>
      </c>
      <c r="M7" s="14">
        <f t="shared" si="1"/>
        <v>25</v>
      </c>
      <c r="N7" s="14">
        <f t="shared" si="2"/>
        <v>100</v>
      </c>
      <c r="O7" s="54">
        <v>100</v>
      </c>
      <c r="P7" s="54">
        <v>100</v>
      </c>
      <c r="Q7" s="54">
        <v>100</v>
      </c>
      <c r="R7" s="54">
        <v>200</v>
      </c>
      <c r="S7" s="74" t="s">
        <v>38</v>
      </c>
      <c r="T7" s="75">
        <v>0.0013</v>
      </c>
      <c r="U7" s="73">
        <f t="shared" si="3"/>
        <v>0.13</v>
      </c>
      <c r="V7" s="75">
        <v>0.0013</v>
      </c>
      <c r="W7" s="73">
        <f t="shared" si="4"/>
        <v>0.13</v>
      </c>
      <c r="X7" s="75">
        <v>0.0013</v>
      </c>
      <c r="Y7" s="73">
        <f t="shared" si="5"/>
        <v>0.13</v>
      </c>
      <c r="Z7" s="75">
        <v>0.0013</v>
      </c>
      <c r="AA7" s="73">
        <f t="shared" si="6"/>
        <v>0.26</v>
      </c>
      <c r="AB7" s="95"/>
    </row>
    <row r="8" s="1" customFormat="1" spans="1:28">
      <c r="A8" s="6">
        <f t="shared" si="7"/>
        <v>6</v>
      </c>
      <c r="B8" s="12"/>
      <c r="C8" s="151" t="s">
        <v>63</v>
      </c>
      <c r="D8" s="152" t="s">
        <v>64</v>
      </c>
      <c r="E8" s="152" t="s">
        <v>53</v>
      </c>
      <c r="F8" s="156" t="s">
        <v>65</v>
      </c>
      <c r="G8" s="152" t="s">
        <v>66</v>
      </c>
      <c r="H8" s="19" t="s">
        <v>67</v>
      </c>
      <c r="I8" s="19" t="s">
        <v>68</v>
      </c>
      <c r="J8" s="152" t="s">
        <v>69</v>
      </c>
      <c r="K8" s="14">
        <v>2</v>
      </c>
      <c r="L8" s="14">
        <f t="shared" si="0"/>
        <v>10</v>
      </c>
      <c r="M8" s="14">
        <f t="shared" si="1"/>
        <v>50</v>
      </c>
      <c r="N8" s="14">
        <f t="shared" si="2"/>
        <v>200</v>
      </c>
      <c r="O8" s="54">
        <v>20</v>
      </c>
      <c r="P8" s="54">
        <v>20</v>
      </c>
      <c r="Q8" s="54">
        <v>60</v>
      </c>
      <c r="R8" s="54">
        <v>220</v>
      </c>
      <c r="S8" s="76" t="s">
        <v>38</v>
      </c>
      <c r="T8" s="75">
        <v>0.0369</v>
      </c>
      <c r="U8" s="73">
        <f t="shared" si="3"/>
        <v>0.738</v>
      </c>
      <c r="V8" s="75">
        <v>0.0369</v>
      </c>
      <c r="W8" s="73">
        <f t="shared" si="4"/>
        <v>0.738</v>
      </c>
      <c r="X8" s="75">
        <v>0.0369</v>
      </c>
      <c r="Y8" s="73">
        <f t="shared" si="5"/>
        <v>2.214</v>
      </c>
      <c r="Z8" s="75">
        <v>0.0306</v>
      </c>
      <c r="AA8" s="73">
        <f t="shared" si="6"/>
        <v>6.732</v>
      </c>
      <c r="AB8" s="95"/>
    </row>
    <row r="9" s="1" customFormat="1" spans="1:28">
      <c r="A9" s="6">
        <f t="shared" si="7"/>
        <v>7</v>
      </c>
      <c r="B9" s="12"/>
      <c r="C9" s="154" t="s">
        <v>70</v>
      </c>
      <c r="D9" s="20" t="s">
        <v>71</v>
      </c>
      <c r="E9" s="153" t="s">
        <v>72</v>
      </c>
      <c r="F9" s="156" t="s">
        <v>73</v>
      </c>
      <c r="G9" s="153" t="s">
        <v>74</v>
      </c>
      <c r="H9" s="21" t="s">
        <v>75</v>
      </c>
      <c r="I9" s="19" t="s">
        <v>76</v>
      </c>
      <c r="J9" s="153" t="s">
        <v>77</v>
      </c>
      <c r="K9" s="15">
        <v>1</v>
      </c>
      <c r="L9" s="14">
        <f t="shared" si="0"/>
        <v>5</v>
      </c>
      <c r="M9" s="14">
        <f t="shared" si="1"/>
        <v>25</v>
      </c>
      <c r="N9" s="14">
        <f t="shared" si="2"/>
        <v>100</v>
      </c>
      <c r="O9" s="54">
        <v>10</v>
      </c>
      <c r="P9" s="54">
        <v>10</v>
      </c>
      <c r="Q9" s="54">
        <v>30</v>
      </c>
      <c r="R9" s="54">
        <v>110</v>
      </c>
      <c r="S9" s="77" t="s">
        <v>38</v>
      </c>
      <c r="T9" s="75">
        <v>0.0783</v>
      </c>
      <c r="U9" s="73">
        <f t="shared" si="3"/>
        <v>0.783</v>
      </c>
      <c r="V9" s="75">
        <v>0.0783</v>
      </c>
      <c r="W9" s="73">
        <f t="shared" si="4"/>
        <v>0.783</v>
      </c>
      <c r="X9" s="75">
        <v>0.0783</v>
      </c>
      <c r="Y9" s="73">
        <f t="shared" si="5"/>
        <v>2.349</v>
      </c>
      <c r="Z9" s="75">
        <v>0.0653</v>
      </c>
      <c r="AA9" s="73">
        <f t="shared" si="6"/>
        <v>7.183</v>
      </c>
      <c r="AB9" s="95"/>
    </row>
    <row r="10" s="1" customFormat="1" spans="1:28">
      <c r="A10" s="6">
        <f t="shared" si="7"/>
        <v>8</v>
      </c>
      <c r="B10" s="12"/>
      <c r="C10" s="154" t="s">
        <v>78</v>
      </c>
      <c r="D10" s="157" t="s">
        <v>79</v>
      </c>
      <c r="E10" s="153" t="s">
        <v>32</v>
      </c>
      <c r="F10" s="156" t="s">
        <v>80</v>
      </c>
      <c r="G10" s="153" t="s">
        <v>81</v>
      </c>
      <c r="H10" s="22" t="s">
        <v>82</v>
      </c>
      <c r="I10" s="22" t="s">
        <v>83</v>
      </c>
      <c r="J10" s="153" t="s">
        <v>84</v>
      </c>
      <c r="K10" s="15">
        <v>1</v>
      </c>
      <c r="L10" s="14">
        <f t="shared" si="0"/>
        <v>5</v>
      </c>
      <c r="M10" s="14">
        <f t="shared" si="1"/>
        <v>25</v>
      </c>
      <c r="N10" s="14">
        <f t="shared" si="2"/>
        <v>100</v>
      </c>
      <c r="O10" s="54">
        <v>5</v>
      </c>
      <c r="P10" s="54">
        <v>10</v>
      </c>
      <c r="Q10" s="54">
        <v>30</v>
      </c>
      <c r="R10" s="54">
        <v>105</v>
      </c>
      <c r="S10" s="77" t="s">
        <v>38</v>
      </c>
      <c r="T10" s="78">
        <v>0.4026</v>
      </c>
      <c r="U10" s="73">
        <f t="shared" si="3"/>
        <v>2.013</v>
      </c>
      <c r="V10" s="78">
        <v>0.3341</v>
      </c>
      <c r="W10" s="73">
        <f t="shared" si="4"/>
        <v>3.341</v>
      </c>
      <c r="X10" s="78">
        <v>0.2844</v>
      </c>
      <c r="Y10" s="73">
        <f t="shared" si="5"/>
        <v>8.532</v>
      </c>
      <c r="Z10" s="96">
        <v>0.2192</v>
      </c>
      <c r="AA10" s="73">
        <f t="shared" si="6"/>
        <v>23.016</v>
      </c>
      <c r="AB10" s="97" t="s">
        <v>85</v>
      </c>
    </row>
    <row r="11" s="1" customFormat="1" spans="1:28">
      <c r="A11" s="6">
        <f t="shared" si="7"/>
        <v>9</v>
      </c>
      <c r="B11" s="12"/>
      <c r="C11" s="154" t="s">
        <v>86</v>
      </c>
      <c r="D11" s="157" t="s">
        <v>87</v>
      </c>
      <c r="E11" s="153" t="s">
        <v>88</v>
      </c>
      <c r="F11" s="153" t="s">
        <v>89</v>
      </c>
      <c r="G11" s="153" t="s">
        <v>66</v>
      </c>
      <c r="H11" s="152" t="s">
        <v>35</v>
      </c>
      <c r="I11" s="21" t="s">
        <v>90</v>
      </c>
      <c r="J11" s="153" t="s">
        <v>69</v>
      </c>
      <c r="K11" s="15">
        <v>1</v>
      </c>
      <c r="L11" s="14">
        <f t="shared" si="0"/>
        <v>5</v>
      </c>
      <c r="M11" s="14">
        <f t="shared" si="1"/>
        <v>25</v>
      </c>
      <c r="N11" s="14">
        <f t="shared" si="2"/>
        <v>100</v>
      </c>
      <c r="O11" s="57">
        <v>20</v>
      </c>
      <c r="P11" s="57">
        <v>20</v>
      </c>
      <c r="Q11" s="57">
        <v>40</v>
      </c>
      <c r="R11" s="57">
        <v>120</v>
      </c>
      <c r="S11" s="79" t="s">
        <v>38</v>
      </c>
      <c r="T11" s="75">
        <v>0.0386</v>
      </c>
      <c r="U11" s="73">
        <f t="shared" si="3"/>
        <v>0.772</v>
      </c>
      <c r="V11" s="75">
        <v>0.0386</v>
      </c>
      <c r="W11" s="73">
        <f t="shared" si="4"/>
        <v>0.772</v>
      </c>
      <c r="X11" s="75">
        <v>0.0386</v>
      </c>
      <c r="Y11" s="73">
        <f t="shared" si="5"/>
        <v>1.544</v>
      </c>
      <c r="Z11" s="75">
        <v>0.0386</v>
      </c>
      <c r="AA11" s="73">
        <f t="shared" si="6"/>
        <v>4.632</v>
      </c>
      <c r="AB11" s="95"/>
    </row>
    <row r="12" s="1" customFormat="1" spans="1:28">
      <c r="A12" s="6">
        <f t="shared" si="7"/>
        <v>10</v>
      </c>
      <c r="B12" s="12"/>
      <c r="C12" s="154" t="s">
        <v>91</v>
      </c>
      <c r="D12" s="157" t="s">
        <v>92</v>
      </c>
      <c r="E12" s="153" t="s">
        <v>88</v>
      </c>
      <c r="F12" s="153" t="s">
        <v>93</v>
      </c>
      <c r="G12" s="153" t="s">
        <v>60</v>
      </c>
      <c r="H12" s="152" t="s">
        <v>35</v>
      </c>
      <c r="I12" s="19" t="s">
        <v>94</v>
      </c>
      <c r="J12" s="153" t="s">
        <v>77</v>
      </c>
      <c r="K12" s="15">
        <v>1</v>
      </c>
      <c r="L12" s="14">
        <f t="shared" si="0"/>
        <v>5</v>
      </c>
      <c r="M12" s="14">
        <f t="shared" si="1"/>
        <v>25</v>
      </c>
      <c r="N12" s="14">
        <f t="shared" si="2"/>
        <v>100</v>
      </c>
      <c r="O12" s="54">
        <v>50</v>
      </c>
      <c r="P12" s="54">
        <v>50</v>
      </c>
      <c r="Q12" s="54">
        <v>50</v>
      </c>
      <c r="R12" s="54">
        <v>150</v>
      </c>
      <c r="S12" s="77" t="s">
        <v>38</v>
      </c>
      <c r="T12" s="75">
        <v>0.0076</v>
      </c>
      <c r="U12" s="73">
        <f t="shared" si="3"/>
        <v>0.38</v>
      </c>
      <c r="V12" s="75">
        <v>0.0076</v>
      </c>
      <c r="W12" s="73">
        <f t="shared" si="4"/>
        <v>0.38</v>
      </c>
      <c r="X12" s="75">
        <v>0.0076</v>
      </c>
      <c r="Y12" s="73">
        <f t="shared" si="5"/>
        <v>0.38</v>
      </c>
      <c r="Z12" s="75">
        <v>0.0076</v>
      </c>
      <c r="AA12" s="73">
        <f t="shared" si="6"/>
        <v>1.14</v>
      </c>
      <c r="AB12" s="95"/>
    </row>
    <row r="13" s="1" customFormat="1" ht="25.5" spans="1:28">
      <c r="A13" s="6">
        <f t="shared" si="7"/>
        <v>11</v>
      </c>
      <c r="B13" s="12"/>
      <c r="C13" s="158" t="s">
        <v>95</v>
      </c>
      <c r="D13" s="155" t="s">
        <v>96</v>
      </c>
      <c r="E13" s="153" t="s">
        <v>88</v>
      </c>
      <c r="F13" s="156" t="s">
        <v>97</v>
      </c>
      <c r="G13" s="153" t="s">
        <v>98</v>
      </c>
      <c r="H13" s="24" t="s">
        <v>99</v>
      </c>
      <c r="I13" s="19" t="s">
        <v>100</v>
      </c>
      <c r="J13" s="153" t="s">
        <v>101</v>
      </c>
      <c r="K13" s="15">
        <v>9</v>
      </c>
      <c r="L13" s="14">
        <f t="shared" si="0"/>
        <v>45</v>
      </c>
      <c r="M13" s="14">
        <f t="shared" si="1"/>
        <v>225</v>
      </c>
      <c r="N13" s="14">
        <f t="shared" si="2"/>
        <v>900</v>
      </c>
      <c r="O13" s="54">
        <v>20</v>
      </c>
      <c r="P13" s="54">
        <v>50</v>
      </c>
      <c r="Q13" s="54">
        <v>230</v>
      </c>
      <c r="R13" s="54">
        <v>910</v>
      </c>
      <c r="S13" s="77" t="s">
        <v>38</v>
      </c>
      <c r="T13" s="80">
        <v>0.0518</v>
      </c>
      <c r="U13" s="73">
        <f t="shared" si="3"/>
        <v>1.036</v>
      </c>
      <c r="V13" s="80">
        <v>0.0518</v>
      </c>
      <c r="W13" s="73">
        <f t="shared" si="4"/>
        <v>2.59</v>
      </c>
      <c r="X13" s="80">
        <v>0.0435</v>
      </c>
      <c r="Y13" s="73">
        <f t="shared" si="5"/>
        <v>10.005</v>
      </c>
      <c r="Z13" s="80">
        <v>0.0375</v>
      </c>
      <c r="AA13" s="73">
        <f t="shared" si="6"/>
        <v>34.125</v>
      </c>
      <c r="AB13" s="95"/>
    </row>
    <row r="14" s="1" customFormat="1" spans="1:28">
      <c r="A14" s="6">
        <f t="shared" si="7"/>
        <v>12</v>
      </c>
      <c r="B14" s="12"/>
      <c r="C14" s="151" t="s">
        <v>102</v>
      </c>
      <c r="D14" s="152" t="s">
        <v>103</v>
      </c>
      <c r="E14" s="152" t="s">
        <v>88</v>
      </c>
      <c r="F14" s="152" t="s">
        <v>104</v>
      </c>
      <c r="G14" s="152" t="s">
        <v>48</v>
      </c>
      <c r="H14" s="152" t="s">
        <v>35</v>
      </c>
      <c r="I14" s="19" t="s">
        <v>105</v>
      </c>
      <c r="J14" s="152" t="s">
        <v>106</v>
      </c>
      <c r="K14" s="14">
        <v>4</v>
      </c>
      <c r="L14" s="14">
        <f t="shared" si="0"/>
        <v>20</v>
      </c>
      <c r="M14" s="14">
        <f t="shared" si="1"/>
        <v>100</v>
      </c>
      <c r="N14" s="14">
        <f t="shared" si="2"/>
        <v>400</v>
      </c>
      <c r="O14" s="54">
        <v>20</v>
      </c>
      <c r="P14" s="54">
        <v>40</v>
      </c>
      <c r="Q14" s="54">
        <v>120</v>
      </c>
      <c r="R14" s="54">
        <v>420</v>
      </c>
      <c r="S14" s="77" t="s">
        <v>38</v>
      </c>
      <c r="T14" s="80">
        <v>0.0258</v>
      </c>
      <c r="U14" s="73">
        <f t="shared" si="3"/>
        <v>0.516</v>
      </c>
      <c r="V14" s="80">
        <v>0.0258</v>
      </c>
      <c r="W14" s="73">
        <f t="shared" si="4"/>
        <v>1.032</v>
      </c>
      <c r="X14" s="80">
        <v>0.0258</v>
      </c>
      <c r="Y14" s="73">
        <f t="shared" si="5"/>
        <v>3.096</v>
      </c>
      <c r="Z14" s="80">
        <v>0.0217</v>
      </c>
      <c r="AA14" s="73">
        <f t="shared" si="6"/>
        <v>9.114</v>
      </c>
      <c r="AB14" s="95"/>
    </row>
    <row r="15" s="1" customFormat="1" spans="1:28">
      <c r="A15" s="6">
        <f t="shared" si="7"/>
        <v>13</v>
      </c>
      <c r="B15" s="12"/>
      <c r="C15" s="151" t="s">
        <v>107</v>
      </c>
      <c r="D15" s="152" t="s">
        <v>108</v>
      </c>
      <c r="E15" s="152" t="s">
        <v>88</v>
      </c>
      <c r="F15" s="152" t="s">
        <v>109</v>
      </c>
      <c r="G15" s="152" t="s">
        <v>60</v>
      </c>
      <c r="H15" s="152" t="s">
        <v>35</v>
      </c>
      <c r="I15" s="19" t="s">
        <v>110</v>
      </c>
      <c r="J15" s="152" t="s">
        <v>111</v>
      </c>
      <c r="K15" s="14">
        <v>1</v>
      </c>
      <c r="L15" s="14">
        <f t="shared" si="0"/>
        <v>5</v>
      </c>
      <c r="M15" s="14">
        <f t="shared" si="1"/>
        <v>25</v>
      </c>
      <c r="N15" s="14">
        <f t="shared" si="2"/>
        <v>100</v>
      </c>
      <c r="O15" s="54">
        <v>50</v>
      </c>
      <c r="P15" s="54">
        <v>50</v>
      </c>
      <c r="Q15" s="54">
        <v>50</v>
      </c>
      <c r="R15" s="54">
        <v>150</v>
      </c>
      <c r="S15" s="77" t="s">
        <v>38</v>
      </c>
      <c r="T15" s="80">
        <v>0.0094</v>
      </c>
      <c r="U15" s="73">
        <f t="shared" si="3"/>
        <v>0.47</v>
      </c>
      <c r="V15" s="80">
        <v>0.0094</v>
      </c>
      <c r="W15" s="73">
        <f t="shared" si="4"/>
        <v>0.47</v>
      </c>
      <c r="X15" s="80">
        <v>0.0094</v>
      </c>
      <c r="Y15" s="73">
        <f t="shared" si="5"/>
        <v>0.47</v>
      </c>
      <c r="Z15" s="80">
        <v>0.0094</v>
      </c>
      <c r="AA15" s="73">
        <f t="shared" si="6"/>
        <v>1.41</v>
      </c>
      <c r="AB15" s="95"/>
    </row>
    <row r="16" s="1" customFormat="1" spans="1:28">
      <c r="A16" s="6">
        <f t="shared" si="7"/>
        <v>14</v>
      </c>
      <c r="B16" s="12"/>
      <c r="C16" s="154" t="s">
        <v>112</v>
      </c>
      <c r="D16" s="152" t="s">
        <v>113</v>
      </c>
      <c r="E16" s="153" t="s">
        <v>46</v>
      </c>
      <c r="F16" s="153" t="s">
        <v>114</v>
      </c>
      <c r="G16" s="153" t="s">
        <v>48</v>
      </c>
      <c r="H16" s="152" t="s">
        <v>35</v>
      </c>
      <c r="I16" s="19" t="s">
        <v>115</v>
      </c>
      <c r="J16" s="153" t="s">
        <v>116</v>
      </c>
      <c r="K16" s="15">
        <v>3</v>
      </c>
      <c r="L16" s="14">
        <f t="shared" si="0"/>
        <v>15</v>
      </c>
      <c r="M16" s="14">
        <f t="shared" si="1"/>
        <v>75</v>
      </c>
      <c r="N16" s="14">
        <f t="shared" si="2"/>
        <v>300</v>
      </c>
      <c r="O16" s="54">
        <v>20</v>
      </c>
      <c r="P16" s="54">
        <v>20</v>
      </c>
      <c r="Q16" s="54">
        <v>80</v>
      </c>
      <c r="R16" s="54">
        <v>320</v>
      </c>
      <c r="S16" s="77" t="s">
        <v>38</v>
      </c>
      <c r="T16" s="80">
        <v>0.0212</v>
      </c>
      <c r="U16" s="73">
        <f t="shared" si="3"/>
        <v>0.424</v>
      </c>
      <c r="V16" s="80">
        <v>0.0212</v>
      </c>
      <c r="W16" s="73">
        <f t="shared" si="4"/>
        <v>0.424</v>
      </c>
      <c r="X16" s="80">
        <v>0.0212</v>
      </c>
      <c r="Y16" s="73">
        <f t="shared" si="5"/>
        <v>1.696</v>
      </c>
      <c r="Z16" s="80">
        <v>0.0174</v>
      </c>
      <c r="AA16" s="73">
        <f t="shared" si="6"/>
        <v>5.568</v>
      </c>
      <c r="AB16" s="95"/>
    </row>
    <row r="17" s="1" customFormat="1" spans="1:28">
      <c r="A17" s="6">
        <f t="shared" si="7"/>
        <v>15</v>
      </c>
      <c r="B17" s="12"/>
      <c r="C17" s="151" t="s">
        <v>117</v>
      </c>
      <c r="D17" s="152" t="s">
        <v>118</v>
      </c>
      <c r="E17" s="152" t="s">
        <v>53</v>
      </c>
      <c r="F17" s="156" t="s">
        <v>119</v>
      </c>
      <c r="G17" s="152" t="s">
        <v>120</v>
      </c>
      <c r="H17" s="25" t="s">
        <v>121</v>
      </c>
      <c r="I17" s="19" t="s">
        <v>122</v>
      </c>
      <c r="J17" s="152" t="s">
        <v>123</v>
      </c>
      <c r="K17" s="14">
        <v>1</v>
      </c>
      <c r="L17" s="14">
        <f t="shared" si="0"/>
        <v>5</v>
      </c>
      <c r="M17" s="14">
        <f t="shared" si="1"/>
        <v>25</v>
      </c>
      <c r="N17" s="14">
        <f t="shared" si="2"/>
        <v>100</v>
      </c>
      <c r="O17" s="54">
        <v>20</v>
      </c>
      <c r="P17" s="54">
        <v>20</v>
      </c>
      <c r="Q17" s="54">
        <v>40</v>
      </c>
      <c r="R17" s="54">
        <v>120</v>
      </c>
      <c r="S17" s="77" t="s">
        <v>38</v>
      </c>
      <c r="T17" s="75">
        <v>0.0246</v>
      </c>
      <c r="U17" s="73">
        <f t="shared" si="3"/>
        <v>0.492</v>
      </c>
      <c r="V17" s="75">
        <v>0.0246</v>
      </c>
      <c r="W17" s="73">
        <f t="shared" si="4"/>
        <v>0.492</v>
      </c>
      <c r="X17" s="75">
        <v>0.0246</v>
      </c>
      <c r="Y17" s="73">
        <f t="shared" si="5"/>
        <v>0.984</v>
      </c>
      <c r="Z17" s="75">
        <v>0.0246</v>
      </c>
      <c r="AA17" s="73">
        <f t="shared" si="6"/>
        <v>2.952</v>
      </c>
      <c r="AB17" s="95"/>
    </row>
    <row r="18" s="1" customFormat="1" spans="1:28">
      <c r="A18" s="6">
        <f t="shared" si="7"/>
        <v>16</v>
      </c>
      <c r="B18" s="12"/>
      <c r="C18" s="151" t="s">
        <v>124</v>
      </c>
      <c r="D18" s="152" t="s">
        <v>125</v>
      </c>
      <c r="E18" s="152" t="s">
        <v>126</v>
      </c>
      <c r="F18" s="152" t="s">
        <v>127</v>
      </c>
      <c r="G18" s="152" t="s">
        <v>128</v>
      </c>
      <c r="H18" s="152" t="s">
        <v>35</v>
      </c>
      <c r="I18" s="19" t="s">
        <v>129</v>
      </c>
      <c r="J18" s="152" t="s">
        <v>130</v>
      </c>
      <c r="K18" s="58">
        <v>1</v>
      </c>
      <c r="L18" s="14">
        <f t="shared" si="0"/>
        <v>5</v>
      </c>
      <c r="M18" s="14">
        <f t="shared" si="1"/>
        <v>25</v>
      </c>
      <c r="N18" s="14">
        <f t="shared" si="2"/>
        <v>100</v>
      </c>
      <c r="O18" s="54">
        <v>5</v>
      </c>
      <c r="P18" s="54">
        <v>10</v>
      </c>
      <c r="Q18" s="54">
        <v>30</v>
      </c>
      <c r="R18" s="54">
        <v>105</v>
      </c>
      <c r="S18" s="77" t="s">
        <v>38</v>
      </c>
      <c r="T18" s="80">
        <v>1.8033</v>
      </c>
      <c r="U18" s="73">
        <f t="shared" si="3"/>
        <v>9.0165</v>
      </c>
      <c r="V18" s="80">
        <v>1.5346</v>
      </c>
      <c r="W18" s="73">
        <f t="shared" si="4"/>
        <v>15.346</v>
      </c>
      <c r="X18" s="80">
        <v>1.3164</v>
      </c>
      <c r="Y18" s="73">
        <f t="shared" si="5"/>
        <v>39.492</v>
      </c>
      <c r="Z18" s="75">
        <v>1.0046</v>
      </c>
      <c r="AA18" s="73">
        <f t="shared" si="6"/>
        <v>105.483</v>
      </c>
      <c r="AB18" s="95"/>
    </row>
    <row r="19" s="1" customFormat="1" spans="1:28">
      <c r="A19" s="6">
        <f t="shared" si="7"/>
        <v>17</v>
      </c>
      <c r="B19" s="12"/>
      <c r="C19" s="151" t="s">
        <v>131</v>
      </c>
      <c r="D19" s="152" t="s">
        <v>132</v>
      </c>
      <c r="E19" s="152" t="s">
        <v>88</v>
      </c>
      <c r="F19" s="152" t="s">
        <v>133</v>
      </c>
      <c r="G19" s="152" t="s">
        <v>60</v>
      </c>
      <c r="H19" s="152" t="s">
        <v>35</v>
      </c>
      <c r="I19" s="19" t="s">
        <v>134</v>
      </c>
      <c r="J19" s="152" t="s">
        <v>135</v>
      </c>
      <c r="K19" s="58">
        <v>1</v>
      </c>
      <c r="L19" s="14">
        <f t="shared" si="0"/>
        <v>5</v>
      </c>
      <c r="M19" s="14">
        <f t="shared" si="1"/>
        <v>25</v>
      </c>
      <c r="N19" s="14">
        <f t="shared" si="2"/>
        <v>100</v>
      </c>
      <c r="O19" s="54">
        <v>100</v>
      </c>
      <c r="P19" s="54">
        <v>100</v>
      </c>
      <c r="Q19" s="54">
        <v>100</v>
      </c>
      <c r="R19" s="54">
        <v>200</v>
      </c>
      <c r="S19" s="77" t="s">
        <v>38</v>
      </c>
      <c r="T19" s="80">
        <v>0.0032</v>
      </c>
      <c r="U19" s="73">
        <f t="shared" si="3"/>
        <v>0.32</v>
      </c>
      <c r="V19" s="80">
        <v>0.0032</v>
      </c>
      <c r="W19" s="73">
        <f t="shared" si="4"/>
        <v>0.32</v>
      </c>
      <c r="X19" s="80">
        <v>0.0032</v>
      </c>
      <c r="Y19" s="73">
        <f t="shared" si="5"/>
        <v>0.32</v>
      </c>
      <c r="Z19" s="80">
        <v>0.0032</v>
      </c>
      <c r="AA19" s="73">
        <f t="shared" si="6"/>
        <v>0.64</v>
      </c>
      <c r="AB19" s="95"/>
    </row>
    <row r="20" s="1" customFormat="1" spans="1:28">
      <c r="A20" s="6">
        <f t="shared" si="7"/>
        <v>18</v>
      </c>
      <c r="B20" s="12"/>
      <c r="C20" s="151" t="s">
        <v>136</v>
      </c>
      <c r="D20" s="152" t="s">
        <v>137</v>
      </c>
      <c r="E20" s="152" t="s">
        <v>88</v>
      </c>
      <c r="F20" s="152" t="s">
        <v>138</v>
      </c>
      <c r="G20" s="152" t="s">
        <v>60</v>
      </c>
      <c r="H20" s="152" t="s">
        <v>35</v>
      </c>
      <c r="I20" s="19" t="s">
        <v>139</v>
      </c>
      <c r="J20" s="152" t="s">
        <v>140</v>
      </c>
      <c r="K20" s="14">
        <v>1</v>
      </c>
      <c r="L20" s="14">
        <f t="shared" si="0"/>
        <v>5</v>
      </c>
      <c r="M20" s="14">
        <f t="shared" si="1"/>
        <v>25</v>
      </c>
      <c r="N20" s="14">
        <f t="shared" si="2"/>
        <v>100</v>
      </c>
      <c r="O20" s="54">
        <v>100</v>
      </c>
      <c r="P20" s="54">
        <v>100</v>
      </c>
      <c r="Q20" s="54">
        <v>100</v>
      </c>
      <c r="R20" s="54">
        <v>200</v>
      </c>
      <c r="S20" s="77" t="s">
        <v>38</v>
      </c>
      <c r="T20" s="80">
        <v>0.0031</v>
      </c>
      <c r="U20" s="73">
        <f t="shared" si="3"/>
        <v>0.31</v>
      </c>
      <c r="V20" s="80">
        <v>0.0031</v>
      </c>
      <c r="W20" s="73">
        <f t="shared" si="4"/>
        <v>0.31</v>
      </c>
      <c r="X20" s="80">
        <v>0.0031</v>
      </c>
      <c r="Y20" s="73">
        <f t="shared" si="5"/>
        <v>0.31</v>
      </c>
      <c r="Z20" s="80">
        <v>0.0031</v>
      </c>
      <c r="AA20" s="73">
        <f t="shared" si="6"/>
        <v>0.62</v>
      </c>
      <c r="AB20" s="95"/>
    </row>
    <row r="21" s="1" customFormat="1" spans="1:28">
      <c r="A21" s="6">
        <f t="shared" si="7"/>
        <v>19</v>
      </c>
      <c r="B21" s="12"/>
      <c r="C21" s="151" t="s">
        <v>141</v>
      </c>
      <c r="D21" s="152" t="s">
        <v>142</v>
      </c>
      <c r="E21" s="152" t="s">
        <v>143</v>
      </c>
      <c r="F21" s="152" t="s">
        <v>144</v>
      </c>
      <c r="G21" s="152" t="s">
        <v>66</v>
      </c>
      <c r="H21" s="152" t="s">
        <v>35</v>
      </c>
      <c r="I21" s="19" t="s">
        <v>145</v>
      </c>
      <c r="J21" s="152" t="s">
        <v>146</v>
      </c>
      <c r="K21" s="14">
        <v>1</v>
      </c>
      <c r="L21" s="14">
        <f t="shared" si="0"/>
        <v>5</v>
      </c>
      <c r="M21" s="14">
        <f t="shared" si="1"/>
        <v>25</v>
      </c>
      <c r="N21" s="14">
        <f t="shared" si="2"/>
        <v>100</v>
      </c>
      <c r="O21" s="54">
        <v>5</v>
      </c>
      <c r="P21" s="54">
        <v>10</v>
      </c>
      <c r="Q21" s="54">
        <v>30</v>
      </c>
      <c r="R21" s="54">
        <v>105</v>
      </c>
      <c r="S21" s="77" t="s">
        <v>38</v>
      </c>
      <c r="T21" s="80">
        <v>0.1573</v>
      </c>
      <c r="U21" s="73">
        <f t="shared" si="3"/>
        <v>0.7865</v>
      </c>
      <c r="V21" s="80">
        <v>0.1573</v>
      </c>
      <c r="W21" s="73">
        <f t="shared" si="4"/>
        <v>1.573</v>
      </c>
      <c r="X21" s="80">
        <v>0.1573</v>
      </c>
      <c r="Y21" s="73">
        <f t="shared" si="5"/>
        <v>4.719</v>
      </c>
      <c r="Z21" s="80">
        <v>0.1351</v>
      </c>
      <c r="AA21" s="73">
        <f t="shared" si="6"/>
        <v>14.1855</v>
      </c>
      <c r="AB21" s="95"/>
    </row>
    <row r="22" s="1" customFormat="1" spans="1:28">
      <c r="A22" s="6">
        <f t="shared" si="7"/>
        <v>20</v>
      </c>
      <c r="B22" s="12"/>
      <c r="C22" s="151" t="s">
        <v>147</v>
      </c>
      <c r="D22" s="152" t="s">
        <v>148</v>
      </c>
      <c r="E22" s="152" t="s">
        <v>88</v>
      </c>
      <c r="F22" s="152" t="s">
        <v>149</v>
      </c>
      <c r="G22" s="152" t="s">
        <v>60</v>
      </c>
      <c r="H22" s="152" t="s">
        <v>35</v>
      </c>
      <c r="I22" s="19" t="s">
        <v>150</v>
      </c>
      <c r="J22" s="152" t="s">
        <v>151</v>
      </c>
      <c r="K22" s="14">
        <v>1</v>
      </c>
      <c r="L22" s="14">
        <f t="shared" si="0"/>
        <v>5</v>
      </c>
      <c r="M22" s="14">
        <f t="shared" si="1"/>
        <v>25</v>
      </c>
      <c r="N22" s="14">
        <f t="shared" si="2"/>
        <v>100</v>
      </c>
      <c r="O22" s="54">
        <v>100</v>
      </c>
      <c r="P22" s="54">
        <v>100</v>
      </c>
      <c r="Q22" s="54">
        <v>100</v>
      </c>
      <c r="R22" s="54">
        <v>200</v>
      </c>
      <c r="S22" s="77" t="s">
        <v>38</v>
      </c>
      <c r="T22" s="80">
        <v>0.0031</v>
      </c>
      <c r="U22" s="73">
        <f t="shared" si="3"/>
        <v>0.31</v>
      </c>
      <c r="V22" s="80">
        <v>0.0031</v>
      </c>
      <c r="W22" s="73">
        <f t="shared" si="4"/>
        <v>0.31</v>
      </c>
      <c r="X22" s="80">
        <v>0.0031</v>
      </c>
      <c r="Y22" s="73">
        <f t="shared" si="5"/>
        <v>0.31</v>
      </c>
      <c r="Z22" s="80">
        <v>0.0031</v>
      </c>
      <c r="AA22" s="73">
        <f t="shared" si="6"/>
        <v>0.62</v>
      </c>
      <c r="AB22" s="95"/>
    </row>
    <row r="23" s="1" customFormat="1" spans="1:28">
      <c r="A23" s="6">
        <f t="shared" si="7"/>
        <v>21</v>
      </c>
      <c r="B23" s="12"/>
      <c r="C23" s="151" t="s">
        <v>152</v>
      </c>
      <c r="D23" s="152" t="s">
        <v>153</v>
      </c>
      <c r="E23" s="152" t="s">
        <v>154</v>
      </c>
      <c r="F23" s="152" t="s">
        <v>155</v>
      </c>
      <c r="G23" s="152" t="s">
        <v>98</v>
      </c>
      <c r="H23" s="152" t="s">
        <v>35</v>
      </c>
      <c r="I23" s="19" t="s">
        <v>156</v>
      </c>
      <c r="J23" s="152" t="s">
        <v>157</v>
      </c>
      <c r="K23" s="14">
        <v>3</v>
      </c>
      <c r="L23" s="14">
        <f t="shared" si="0"/>
        <v>15</v>
      </c>
      <c r="M23" s="14">
        <f t="shared" si="1"/>
        <v>75</v>
      </c>
      <c r="N23" s="14">
        <f t="shared" si="2"/>
        <v>300</v>
      </c>
      <c r="O23" s="54">
        <v>5</v>
      </c>
      <c r="P23" s="54">
        <v>20</v>
      </c>
      <c r="Q23" s="54">
        <v>80</v>
      </c>
      <c r="R23" s="54">
        <v>305</v>
      </c>
      <c r="S23" s="77" t="s">
        <v>38</v>
      </c>
      <c r="T23" s="80">
        <v>0.4815</v>
      </c>
      <c r="U23" s="73">
        <f t="shared" si="3"/>
        <v>2.4075</v>
      </c>
      <c r="V23" s="80">
        <v>0.404</v>
      </c>
      <c r="W23" s="73">
        <f t="shared" si="4"/>
        <v>8.08</v>
      </c>
      <c r="X23" s="80">
        <v>0.3391</v>
      </c>
      <c r="Y23" s="73">
        <f t="shared" si="5"/>
        <v>27.128</v>
      </c>
      <c r="Z23" s="80">
        <v>0.2705</v>
      </c>
      <c r="AA23" s="73">
        <f t="shared" si="6"/>
        <v>82.5025</v>
      </c>
      <c r="AB23" s="95"/>
    </row>
    <row r="24" s="1" customFormat="1" spans="1:28">
      <c r="A24" s="6">
        <f t="shared" si="7"/>
        <v>22</v>
      </c>
      <c r="B24" s="12"/>
      <c r="C24" s="151" t="s">
        <v>158</v>
      </c>
      <c r="D24" s="152" t="s">
        <v>159</v>
      </c>
      <c r="E24" s="152" t="s">
        <v>88</v>
      </c>
      <c r="F24" s="152" t="s">
        <v>160</v>
      </c>
      <c r="G24" s="152" t="s">
        <v>60</v>
      </c>
      <c r="H24" s="152" t="s">
        <v>35</v>
      </c>
      <c r="I24" s="19" t="s">
        <v>161</v>
      </c>
      <c r="J24" s="152" t="s">
        <v>162</v>
      </c>
      <c r="K24" s="14">
        <v>1</v>
      </c>
      <c r="L24" s="14">
        <f t="shared" si="0"/>
        <v>5</v>
      </c>
      <c r="M24" s="14">
        <f t="shared" si="1"/>
        <v>25</v>
      </c>
      <c r="N24" s="14">
        <f t="shared" si="2"/>
        <v>100</v>
      </c>
      <c r="O24" s="54">
        <v>50</v>
      </c>
      <c r="P24" s="54">
        <v>50</v>
      </c>
      <c r="Q24" s="54">
        <v>50</v>
      </c>
      <c r="R24" s="54">
        <v>150</v>
      </c>
      <c r="S24" s="77" t="s">
        <v>38</v>
      </c>
      <c r="T24" s="80">
        <v>0.0082</v>
      </c>
      <c r="U24" s="73">
        <f t="shared" si="3"/>
        <v>0.41</v>
      </c>
      <c r="V24" s="80">
        <v>0.0082</v>
      </c>
      <c r="W24" s="73">
        <f t="shared" si="4"/>
        <v>0.41</v>
      </c>
      <c r="X24" s="80">
        <v>0.0082</v>
      </c>
      <c r="Y24" s="73">
        <f t="shared" si="5"/>
        <v>0.41</v>
      </c>
      <c r="Z24" s="80">
        <v>0.0082</v>
      </c>
      <c r="AA24" s="73">
        <f t="shared" si="6"/>
        <v>1.23</v>
      </c>
      <c r="AB24" s="95"/>
    </row>
    <row r="25" s="1" customFormat="1" spans="1:28">
      <c r="A25" s="6">
        <f t="shared" si="7"/>
        <v>23</v>
      </c>
      <c r="B25" s="12"/>
      <c r="C25" s="154" t="s">
        <v>163</v>
      </c>
      <c r="D25" s="152" t="s">
        <v>164</v>
      </c>
      <c r="E25" s="153" t="s">
        <v>88</v>
      </c>
      <c r="F25" s="153" t="s">
        <v>165</v>
      </c>
      <c r="G25" s="153" t="s">
        <v>60</v>
      </c>
      <c r="H25" s="152" t="s">
        <v>35</v>
      </c>
      <c r="I25" s="19" t="s">
        <v>166</v>
      </c>
      <c r="J25" s="153" t="s">
        <v>50</v>
      </c>
      <c r="K25" s="15">
        <v>3</v>
      </c>
      <c r="L25" s="14">
        <f t="shared" si="0"/>
        <v>15</v>
      </c>
      <c r="M25" s="14">
        <f t="shared" si="1"/>
        <v>75</v>
      </c>
      <c r="N25" s="14">
        <f t="shared" si="2"/>
        <v>300</v>
      </c>
      <c r="O25" s="54">
        <v>50</v>
      </c>
      <c r="P25" s="54">
        <v>50</v>
      </c>
      <c r="Q25" s="54">
        <v>100</v>
      </c>
      <c r="R25" s="54">
        <v>350</v>
      </c>
      <c r="S25" s="77" t="s">
        <v>38</v>
      </c>
      <c r="T25" s="80">
        <v>0.0085</v>
      </c>
      <c r="U25" s="73">
        <f t="shared" si="3"/>
        <v>0.425</v>
      </c>
      <c r="V25" s="80">
        <v>0.0085</v>
      </c>
      <c r="W25" s="73">
        <f t="shared" si="4"/>
        <v>0.425</v>
      </c>
      <c r="X25" s="80">
        <v>0.0085</v>
      </c>
      <c r="Y25" s="73">
        <f t="shared" si="5"/>
        <v>0.85</v>
      </c>
      <c r="Z25" s="80">
        <v>0.0085</v>
      </c>
      <c r="AA25" s="73">
        <f t="shared" si="6"/>
        <v>2.975</v>
      </c>
      <c r="AB25" s="95"/>
    </row>
    <row r="26" s="1" customFormat="1" spans="1:28">
      <c r="A26" s="6">
        <f t="shared" si="7"/>
        <v>24</v>
      </c>
      <c r="B26" s="12"/>
      <c r="C26" s="154" t="s">
        <v>167</v>
      </c>
      <c r="D26" s="159" t="s">
        <v>168</v>
      </c>
      <c r="E26" s="153" t="s">
        <v>72</v>
      </c>
      <c r="F26" s="156" t="s">
        <v>169</v>
      </c>
      <c r="G26" s="153" t="s">
        <v>128</v>
      </c>
      <c r="H26" s="19" t="s">
        <v>170</v>
      </c>
      <c r="I26" s="49" t="s">
        <v>171</v>
      </c>
      <c r="J26" s="153" t="s">
        <v>172</v>
      </c>
      <c r="K26" s="15">
        <v>4</v>
      </c>
      <c r="L26" s="14">
        <f t="shared" si="0"/>
        <v>20</v>
      </c>
      <c r="M26" s="14">
        <f t="shared" si="1"/>
        <v>100</v>
      </c>
      <c r="N26" s="14">
        <f t="shared" si="2"/>
        <v>400</v>
      </c>
      <c r="O26" s="54">
        <v>20</v>
      </c>
      <c r="P26" s="54">
        <v>40</v>
      </c>
      <c r="Q26" s="54">
        <v>120</v>
      </c>
      <c r="R26" s="54">
        <v>420</v>
      </c>
      <c r="S26" s="77" t="s">
        <v>38</v>
      </c>
      <c r="T26" s="80">
        <v>0.0254</v>
      </c>
      <c r="U26" s="73">
        <f t="shared" si="3"/>
        <v>0.508</v>
      </c>
      <c r="V26" s="80">
        <v>0.0254</v>
      </c>
      <c r="W26" s="73">
        <f t="shared" si="4"/>
        <v>1.016</v>
      </c>
      <c r="X26" s="80">
        <v>0.0254</v>
      </c>
      <c r="Y26" s="73">
        <f t="shared" si="5"/>
        <v>3.048</v>
      </c>
      <c r="Z26" s="80">
        <v>0.0206</v>
      </c>
      <c r="AA26" s="73">
        <f t="shared" si="6"/>
        <v>8.652</v>
      </c>
      <c r="AB26" s="98"/>
    </row>
    <row r="27" s="1" customFormat="1" spans="1:28">
      <c r="A27" s="6">
        <f t="shared" si="7"/>
        <v>25</v>
      </c>
      <c r="B27" s="12"/>
      <c r="C27" s="154" t="s">
        <v>173</v>
      </c>
      <c r="D27" s="159" t="s">
        <v>174</v>
      </c>
      <c r="E27" s="153" t="s">
        <v>175</v>
      </c>
      <c r="F27" s="153" t="s">
        <v>176</v>
      </c>
      <c r="G27" s="153" t="s">
        <v>66</v>
      </c>
      <c r="H27" s="152" t="s">
        <v>35</v>
      </c>
      <c r="I27" s="19" t="s">
        <v>177</v>
      </c>
      <c r="J27" s="153" t="s">
        <v>172</v>
      </c>
      <c r="K27" s="15">
        <v>4</v>
      </c>
      <c r="L27" s="14">
        <f t="shared" si="0"/>
        <v>20</v>
      </c>
      <c r="M27" s="14">
        <f t="shared" si="1"/>
        <v>100</v>
      </c>
      <c r="N27" s="14">
        <f t="shared" si="2"/>
        <v>400</v>
      </c>
      <c r="O27" s="54">
        <v>10</v>
      </c>
      <c r="P27" s="54">
        <v>30</v>
      </c>
      <c r="Q27" s="54">
        <v>110</v>
      </c>
      <c r="R27" s="54">
        <v>410</v>
      </c>
      <c r="S27" s="77" t="s">
        <v>38</v>
      </c>
      <c r="T27" s="80">
        <v>0.0742</v>
      </c>
      <c r="U27" s="73">
        <f t="shared" si="3"/>
        <v>0.742</v>
      </c>
      <c r="V27" s="80">
        <v>0.0742</v>
      </c>
      <c r="W27" s="73">
        <f t="shared" si="4"/>
        <v>2.226</v>
      </c>
      <c r="X27" s="80">
        <v>0.0631</v>
      </c>
      <c r="Y27" s="73">
        <f t="shared" si="5"/>
        <v>6.941</v>
      </c>
      <c r="Z27" s="80">
        <v>0.0552</v>
      </c>
      <c r="AA27" s="73">
        <f t="shared" si="6"/>
        <v>22.632</v>
      </c>
      <c r="AB27" s="95" t="s">
        <v>178</v>
      </c>
    </row>
    <row r="28" s="1" customFormat="1" spans="1:28">
      <c r="A28" s="6">
        <f t="shared" si="7"/>
        <v>26</v>
      </c>
      <c r="B28" s="12"/>
      <c r="C28" s="154" t="s">
        <v>179</v>
      </c>
      <c r="D28" s="157" t="s">
        <v>180</v>
      </c>
      <c r="E28" s="153" t="s">
        <v>88</v>
      </c>
      <c r="F28" s="153" t="s">
        <v>181</v>
      </c>
      <c r="G28" s="153" t="s">
        <v>74</v>
      </c>
      <c r="H28" s="152" t="s">
        <v>35</v>
      </c>
      <c r="I28" s="19" t="s">
        <v>182</v>
      </c>
      <c r="J28" s="153" t="s">
        <v>183</v>
      </c>
      <c r="K28" s="15">
        <v>1</v>
      </c>
      <c r="L28" s="14">
        <f t="shared" si="0"/>
        <v>5</v>
      </c>
      <c r="M28" s="14">
        <f t="shared" si="1"/>
        <v>25</v>
      </c>
      <c r="N28" s="14">
        <f t="shared" si="2"/>
        <v>100</v>
      </c>
      <c r="O28" s="54">
        <v>50</v>
      </c>
      <c r="P28" s="54">
        <v>50</v>
      </c>
      <c r="Q28" s="54">
        <v>50</v>
      </c>
      <c r="R28" s="54">
        <v>150</v>
      </c>
      <c r="S28" s="77" t="s">
        <v>38</v>
      </c>
      <c r="T28" s="80">
        <v>0.0047</v>
      </c>
      <c r="U28" s="73">
        <f t="shared" si="3"/>
        <v>0.235</v>
      </c>
      <c r="V28" s="80">
        <v>0.0047</v>
      </c>
      <c r="W28" s="73">
        <f t="shared" si="4"/>
        <v>0.235</v>
      </c>
      <c r="X28" s="80">
        <v>0.0047</v>
      </c>
      <c r="Y28" s="73">
        <f t="shared" si="5"/>
        <v>0.235</v>
      </c>
      <c r="Z28" s="80">
        <v>0.0047</v>
      </c>
      <c r="AA28" s="73">
        <f t="shared" si="6"/>
        <v>0.705</v>
      </c>
      <c r="AB28" s="95"/>
    </row>
    <row r="29" s="1" customFormat="1" spans="1:28">
      <c r="A29" s="6">
        <f t="shared" si="7"/>
        <v>27</v>
      </c>
      <c r="B29" s="12"/>
      <c r="C29" s="154" t="s">
        <v>86</v>
      </c>
      <c r="D29" s="157" t="s">
        <v>87</v>
      </c>
      <c r="E29" s="153" t="s">
        <v>88</v>
      </c>
      <c r="F29" s="153" t="s">
        <v>89</v>
      </c>
      <c r="G29" s="153" t="s">
        <v>66</v>
      </c>
      <c r="H29" s="152" t="s">
        <v>35</v>
      </c>
      <c r="I29" s="19" t="s">
        <v>90</v>
      </c>
      <c r="J29" s="153" t="s">
        <v>184</v>
      </c>
      <c r="K29" s="15">
        <v>1</v>
      </c>
      <c r="L29" s="14">
        <f t="shared" si="0"/>
        <v>5</v>
      </c>
      <c r="M29" s="14">
        <f t="shared" si="1"/>
        <v>25</v>
      </c>
      <c r="N29" s="14">
        <f t="shared" si="2"/>
        <v>100</v>
      </c>
      <c r="O29" s="54">
        <v>20</v>
      </c>
      <c r="P29" s="54">
        <v>20</v>
      </c>
      <c r="Q29" s="54">
        <v>40</v>
      </c>
      <c r="R29" s="54">
        <v>120</v>
      </c>
      <c r="S29" s="77" t="s">
        <v>38</v>
      </c>
      <c r="T29" s="80">
        <v>0.0386</v>
      </c>
      <c r="U29" s="73">
        <f t="shared" si="3"/>
        <v>0.772</v>
      </c>
      <c r="V29" s="80">
        <v>0.0386</v>
      </c>
      <c r="W29" s="73">
        <f t="shared" si="4"/>
        <v>0.772</v>
      </c>
      <c r="X29" s="80">
        <v>0.0386</v>
      </c>
      <c r="Y29" s="73">
        <f t="shared" si="5"/>
        <v>1.544</v>
      </c>
      <c r="Z29" s="80">
        <v>0.0386</v>
      </c>
      <c r="AA29" s="73">
        <f t="shared" si="6"/>
        <v>4.632</v>
      </c>
      <c r="AB29" s="99"/>
    </row>
    <row r="30" s="1" customFormat="1" ht="13.5" spans="1:28">
      <c r="A30" s="6">
        <f t="shared" si="7"/>
        <v>28</v>
      </c>
      <c r="B30" s="27"/>
      <c r="C30" s="160" t="s">
        <v>185</v>
      </c>
      <c r="D30" s="161" t="s">
        <v>186</v>
      </c>
      <c r="E30" s="162" t="s">
        <v>187</v>
      </c>
      <c r="F30" s="162" t="s">
        <v>188</v>
      </c>
      <c r="G30" s="162" t="s">
        <v>66</v>
      </c>
      <c r="H30" s="163" t="s">
        <v>35</v>
      </c>
      <c r="I30" s="43" t="s">
        <v>189</v>
      </c>
      <c r="J30" s="162" t="s">
        <v>190</v>
      </c>
      <c r="K30" s="30">
        <v>4</v>
      </c>
      <c r="L30" s="31">
        <f t="shared" si="0"/>
        <v>20</v>
      </c>
      <c r="M30" s="31">
        <f t="shared" si="1"/>
        <v>100</v>
      </c>
      <c r="N30" s="31">
        <f t="shared" si="2"/>
        <v>400</v>
      </c>
      <c r="O30" s="59">
        <v>50</v>
      </c>
      <c r="P30" s="59">
        <v>50</v>
      </c>
      <c r="Q30" s="59">
        <v>150</v>
      </c>
      <c r="R30" s="59">
        <v>450</v>
      </c>
      <c r="S30" s="81" t="s">
        <v>38</v>
      </c>
      <c r="T30" s="82">
        <v>0.0054</v>
      </c>
      <c r="U30" s="83">
        <f t="shared" si="3"/>
        <v>0.27</v>
      </c>
      <c r="V30" s="82">
        <v>0.0054</v>
      </c>
      <c r="W30" s="83">
        <f t="shared" si="4"/>
        <v>0.27</v>
      </c>
      <c r="X30" s="82">
        <v>0.0054</v>
      </c>
      <c r="Y30" s="83">
        <f t="shared" si="5"/>
        <v>0.81</v>
      </c>
      <c r="Z30" s="82">
        <v>0.0054</v>
      </c>
      <c r="AA30" s="83">
        <f t="shared" si="6"/>
        <v>2.43</v>
      </c>
      <c r="AB30" s="100"/>
    </row>
    <row r="31" s="1" customFormat="1" spans="1:28">
      <c r="A31" s="6">
        <f t="shared" si="7"/>
        <v>29</v>
      </c>
      <c r="B31" s="7" t="s">
        <v>191</v>
      </c>
      <c r="C31" s="164" t="s">
        <v>192</v>
      </c>
      <c r="D31" s="150" t="s">
        <v>193</v>
      </c>
      <c r="E31" s="149" t="s">
        <v>32</v>
      </c>
      <c r="F31" s="150" t="s">
        <v>194</v>
      </c>
      <c r="G31" s="150" t="s">
        <v>195</v>
      </c>
      <c r="H31" s="150" t="s">
        <v>35</v>
      </c>
      <c r="I31" s="150" t="s">
        <v>35</v>
      </c>
      <c r="J31" s="149" t="s">
        <v>196</v>
      </c>
      <c r="K31" s="60">
        <v>1</v>
      </c>
      <c r="L31" s="11">
        <f t="shared" si="0"/>
        <v>5</v>
      </c>
      <c r="M31" s="11">
        <f t="shared" si="1"/>
        <v>25</v>
      </c>
      <c r="N31" s="11">
        <f t="shared" si="2"/>
        <v>100</v>
      </c>
      <c r="O31" s="51">
        <v>29</v>
      </c>
      <c r="P31" s="51">
        <v>29</v>
      </c>
      <c r="Q31" s="51">
        <v>29</v>
      </c>
      <c r="R31" s="51">
        <v>105</v>
      </c>
      <c r="S31" s="84" t="s">
        <v>197</v>
      </c>
      <c r="T31" s="85">
        <v>0.509</v>
      </c>
      <c r="U31" s="70">
        <f t="shared" si="3"/>
        <v>14.761</v>
      </c>
      <c r="V31" s="85">
        <v>0.509</v>
      </c>
      <c r="W31" s="70">
        <f t="shared" si="4"/>
        <v>14.761</v>
      </c>
      <c r="X31" s="85">
        <v>0.509</v>
      </c>
      <c r="Y31" s="70">
        <f t="shared" si="5"/>
        <v>14.761</v>
      </c>
      <c r="Z31" s="85">
        <v>0.509</v>
      </c>
      <c r="AA31" s="70">
        <f t="shared" si="6"/>
        <v>53.445</v>
      </c>
      <c r="AB31" s="101" t="s">
        <v>198</v>
      </c>
    </row>
    <row r="32" s="1" customFormat="1" ht="13.5" spans="1:28">
      <c r="A32" s="6">
        <f t="shared" si="7"/>
        <v>30</v>
      </c>
      <c r="B32" s="27"/>
      <c r="C32" s="165" t="s">
        <v>199</v>
      </c>
      <c r="D32" s="163" t="s">
        <v>200</v>
      </c>
      <c r="E32" s="163" t="s">
        <v>201</v>
      </c>
      <c r="F32" s="166" t="s">
        <v>202</v>
      </c>
      <c r="G32" s="163" t="s">
        <v>203</v>
      </c>
      <c r="H32" s="35" t="s">
        <v>204</v>
      </c>
      <c r="I32" s="43" t="s">
        <v>205</v>
      </c>
      <c r="J32" s="162" t="s">
        <v>196</v>
      </c>
      <c r="K32" s="61">
        <v>1</v>
      </c>
      <c r="L32" s="31">
        <f t="shared" si="0"/>
        <v>5</v>
      </c>
      <c r="M32" s="31">
        <f t="shared" si="1"/>
        <v>25</v>
      </c>
      <c r="N32" s="31">
        <f t="shared" si="2"/>
        <v>100</v>
      </c>
      <c r="O32" s="59">
        <v>10</v>
      </c>
      <c r="P32" s="59">
        <v>10</v>
      </c>
      <c r="Q32" s="59">
        <v>30</v>
      </c>
      <c r="R32" s="59">
        <v>110</v>
      </c>
      <c r="S32" s="81" t="s">
        <v>38</v>
      </c>
      <c r="T32" s="82">
        <v>0.0817</v>
      </c>
      <c r="U32" s="83">
        <f t="shared" si="3"/>
        <v>0.817</v>
      </c>
      <c r="V32" s="82">
        <v>0.0817</v>
      </c>
      <c r="W32" s="83">
        <f t="shared" si="4"/>
        <v>0.817</v>
      </c>
      <c r="X32" s="82">
        <v>0.0817</v>
      </c>
      <c r="Y32" s="83">
        <f t="shared" si="5"/>
        <v>2.451</v>
      </c>
      <c r="Z32" s="82">
        <v>0.0677</v>
      </c>
      <c r="AA32" s="83">
        <f t="shared" si="6"/>
        <v>7.447</v>
      </c>
      <c r="AB32" s="100"/>
    </row>
    <row r="33" s="1" customFormat="1" spans="1:28">
      <c r="A33" s="6">
        <f t="shared" si="7"/>
        <v>31</v>
      </c>
      <c r="B33" s="7" t="s">
        <v>206</v>
      </c>
      <c r="C33" s="164" t="s">
        <v>207</v>
      </c>
      <c r="D33" s="150" t="s">
        <v>208</v>
      </c>
      <c r="E33" s="149" t="s">
        <v>32</v>
      </c>
      <c r="F33" s="150" t="s">
        <v>209</v>
      </c>
      <c r="G33" s="150" t="s">
        <v>210</v>
      </c>
      <c r="H33" s="150" t="s">
        <v>35</v>
      </c>
      <c r="I33" s="62" t="s">
        <v>211</v>
      </c>
      <c r="J33" s="149" t="s">
        <v>196</v>
      </c>
      <c r="K33" s="60">
        <v>1</v>
      </c>
      <c r="L33" s="11">
        <f t="shared" si="0"/>
        <v>5</v>
      </c>
      <c r="M33" s="11">
        <f t="shared" si="1"/>
        <v>25</v>
      </c>
      <c r="N33" s="11">
        <f t="shared" si="2"/>
        <v>100</v>
      </c>
      <c r="O33" s="51">
        <v>10</v>
      </c>
      <c r="P33" s="51">
        <v>10</v>
      </c>
      <c r="Q33" s="51">
        <v>30</v>
      </c>
      <c r="R33" s="51">
        <v>110</v>
      </c>
      <c r="S33" s="84" t="s">
        <v>38</v>
      </c>
      <c r="T33" s="85">
        <v>0.0507</v>
      </c>
      <c r="U33" s="70">
        <f t="shared" si="3"/>
        <v>0.507</v>
      </c>
      <c r="V33" s="85">
        <v>0.0507</v>
      </c>
      <c r="W33" s="70">
        <f t="shared" si="4"/>
        <v>0.507</v>
      </c>
      <c r="X33" s="85">
        <v>0.0507</v>
      </c>
      <c r="Y33" s="70">
        <f t="shared" si="5"/>
        <v>1.521</v>
      </c>
      <c r="Z33" s="85">
        <v>0.0433</v>
      </c>
      <c r="AA33" s="70">
        <f t="shared" si="6"/>
        <v>4.763</v>
      </c>
      <c r="AB33" s="94"/>
    </row>
    <row r="34" s="1" customFormat="1" spans="1:28">
      <c r="A34" s="6">
        <f t="shared" si="7"/>
        <v>32</v>
      </c>
      <c r="B34" s="12"/>
      <c r="C34" s="151" t="s">
        <v>212</v>
      </c>
      <c r="D34" s="152" t="s">
        <v>213</v>
      </c>
      <c r="E34" s="152" t="s">
        <v>214</v>
      </c>
      <c r="F34" s="152" t="s">
        <v>215</v>
      </c>
      <c r="G34" s="152" t="s">
        <v>216</v>
      </c>
      <c r="H34" s="152" t="s">
        <v>35</v>
      </c>
      <c r="I34" s="19" t="s">
        <v>217</v>
      </c>
      <c r="J34" s="153" t="s">
        <v>196</v>
      </c>
      <c r="K34" s="58">
        <v>1</v>
      </c>
      <c r="L34" s="14">
        <f t="shared" si="0"/>
        <v>5</v>
      </c>
      <c r="M34" s="14">
        <f t="shared" si="1"/>
        <v>25</v>
      </c>
      <c r="N34" s="14">
        <f t="shared" si="2"/>
        <v>100</v>
      </c>
      <c r="O34" s="54">
        <v>10</v>
      </c>
      <c r="P34" s="54">
        <v>10</v>
      </c>
      <c r="Q34" s="54">
        <v>30</v>
      </c>
      <c r="R34" s="54">
        <v>110</v>
      </c>
      <c r="S34" s="77" t="s">
        <v>38</v>
      </c>
      <c r="T34" s="80">
        <v>0.0735</v>
      </c>
      <c r="U34" s="73">
        <f t="shared" si="3"/>
        <v>0.735</v>
      </c>
      <c r="V34" s="80">
        <v>0.0735</v>
      </c>
      <c r="W34" s="73">
        <f t="shared" si="4"/>
        <v>0.735</v>
      </c>
      <c r="X34" s="80">
        <v>0.0735</v>
      </c>
      <c r="Y34" s="73">
        <f t="shared" si="5"/>
        <v>2.205</v>
      </c>
      <c r="Z34" s="80">
        <v>0.0602</v>
      </c>
      <c r="AA34" s="73">
        <f t="shared" si="6"/>
        <v>6.622</v>
      </c>
      <c r="AB34" s="98"/>
    </row>
    <row r="35" s="1" customFormat="1" spans="1:28">
      <c r="A35" s="6">
        <f t="shared" si="7"/>
        <v>33</v>
      </c>
      <c r="B35" s="12"/>
      <c r="C35" s="151" t="s">
        <v>218</v>
      </c>
      <c r="D35" s="152" t="s">
        <v>219</v>
      </c>
      <c r="E35" s="152" t="s">
        <v>214</v>
      </c>
      <c r="F35" s="152" t="s">
        <v>220</v>
      </c>
      <c r="G35" s="152" t="s">
        <v>216</v>
      </c>
      <c r="H35" s="152" t="s">
        <v>35</v>
      </c>
      <c r="I35" s="49" t="s">
        <v>221</v>
      </c>
      <c r="J35" s="153" t="s">
        <v>196</v>
      </c>
      <c r="K35" s="58">
        <v>1</v>
      </c>
      <c r="L35" s="14">
        <f t="shared" si="0"/>
        <v>5</v>
      </c>
      <c r="M35" s="14">
        <f t="shared" si="1"/>
        <v>25</v>
      </c>
      <c r="N35" s="14">
        <f t="shared" si="2"/>
        <v>100</v>
      </c>
      <c r="O35" s="54">
        <v>10</v>
      </c>
      <c r="P35" s="54">
        <v>10</v>
      </c>
      <c r="Q35" s="54">
        <v>30</v>
      </c>
      <c r="R35" s="54">
        <v>110</v>
      </c>
      <c r="S35" s="77" t="s">
        <v>38</v>
      </c>
      <c r="T35" s="80">
        <v>0.0417</v>
      </c>
      <c r="U35" s="73">
        <f t="shared" si="3"/>
        <v>0.417</v>
      </c>
      <c r="V35" s="80">
        <v>0.0417</v>
      </c>
      <c r="W35" s="73">
        <f t="shared" si="4"/>
        <v>0.417</v>
      </c>
      <c r="X35" s="80">
        <v>0.0417</v>
      </c>
      <c r="Y35" s="73">
        <f t="shared" si="5"/>
        <v>1.251</v>
      </c>
      <c r="Z35" s="80">
        <v>0.0341</v>
      </c>
      <c r="AA35" s="73">
        <f t="shared" si="6"/>
        <v>3.751</v>
      </c>
      <c r="AB35" s="98"/>
    </row>
    <row r="36" s="1" customFormat="1" spans="1:28">
      <c r="A36" s="6">
        <f t="shared" si="7"/>
        <v>34</v>
      </c>
      <c r="B36" s="12"/>
      <c r="C36" s="167" t="s">
        <v>222</v>
      </c>
      <c r="D36" s="168" t="s">
        <v>223</v>
      </c>
      <c r="E36" s="168" t="s">
        <v>224</v>
      </c>
      <c r="F36" s="168" t="s">
        <v>225</v>
      </c>
      <c r="G36" s="168" t="s">
        <v>226</v>
      </c>
      <c r="H36" s="169" t="s">
        <v>35</v>
      </c>
      <c r="I36" s="169" t="s">
        <v>35</v>
      </c>
      <c r="J36" s="168" t="s">
        <v>196</v>
      </c>
      <c r="K36" s="37">
        <v>8</v>
      </c>
      <c r="L36" s="38">
        <f t="shared" si="0"/>
        <v>40</v>
      </c>
      <c r="M36" s="38">
        <f t="shared" si="1"/>
        <v>200</v>
      </c>
      <c r="N36" s="38">
        <f t="shared" si="2"/>
        <v>800</v>
      </c>
      <c r="O36" s="63"/>
      <c r="P36" s="63"/>
      <c r="Q36" s="63"/>
      <c r="R36" s="63"/>
      <c r="S36" s="38"/>
      <c r="T36" s="86"/>
      <c r="U36" s="86">
        <f t="shared" ref="U36:U67" si="8">T36*O36</f>
        <v>0</v>
      </c>
      <c r="V36" s="86"/>
      <c r="W36" s="86">
        <f t="shared" ref="W36:W67" si="9">V36*P36</f>
        <v>0</v>
      </c>
      <c r="X36" s="86"/>
      <c r="Y36" s="86">
        <f t="shared" ref="Y36:Y67" si="10">X36*Q36</f>
        <v>0</v>
      </c>
      <c r="Z36" s="86"/>
      <c r="AA36" s="86">
        <f t="shared" ref="AA36:AA67" si="11">Z36*R36</f>
        <v>0</v>
      </c>
      <c r="AB36" s="97" t="s">
        <v>227</v>
      </c>
    </row>
    <row r="37" s="1" customFormat="1" ht="13.5" spans="1:28">
      <c r="A37" s="6">
        <f t="shared" ref="A37:A68" si="12">A36+1</f>
        <v>35</v>
      </c>
      <c r="B37" s="27"/>
      <c r="C37" s="160" t="s">
        <v>228</v>
      </c>
      <c r="D37" s="161" t="s">
        <v>193</v>
      </c>
      <c r="E37" s="162" t="s">
        <v>32</v>
      </c>
      <c r="F37" s="162" t="s">
        <v>229</v>
      </c>
      <c r="G37" s="162" t="s">
        <v>230</v>
      </c>
      <c r="H37" s="163" t="s">
        <v>35</v>
      </c>
      <c r="I37" s="43" t="s">
        <v>231</v>
      </c>
      <c r="J37" s="162" t="s">
        <v>196</v>
      </c>
      <c r="K37" s="30">
        <v>1</v>
      </c>
      <c r="L37" s="31">
        <f t="shared" si="0"/>
        <v>5</v>
      </c>
      <c r="M37" s="31">
        <f t="shared" si="1"/>
        <v>25</v>
      </c>
      <c r="N37" s="31">
        <f t="shared" si="2"/>
        <v>100</v>
      </c>
      <c r="O37" s="59">
        <v>5</v>
      </c>
      <c r="P37" s="59">
        <v>10</v>
      </c>
      <c r="Q37" s="59">
        <v>30</v>
      </c>
      <c r="R37" s="59">
        <v>105</v>
      </c>
      <c r="S37" s="81" t="s">
        <v>38</v>
      </c>
      <c r="T37" s="82">
        <v>0.1303</v>
      </c>
      <c r="U37" s="83">
        <f t="shared" si="8"/>
        <v>0.6515</v>
      </c>
      <c r="V37" s="82">
        <v>0.1303</v>
      </c>
      <c r="W37" s="83">
        <f t="shared" si="9"/>
        <v>1.303</v>
      </c>
      <c r="X37" s="82">
        <v>0.1303</v>
      </c>
      <c r="Y37" s="83">
        <f t="shared" si="10"/>
        <v>3.909</v>
      </c>
      <c r="Z37" s="82">
        <v>0.1071</v>
      </c>
      <c r="AA37" s="83">
        <f t="shared" si="11"/>
        <v>11.2455</v>
      </c>
      <c r="AB37" s="100"/>
    </row>
    <row r="38" s="1" customFormat="1" ht="13.5" spans="1:28">
      <c r="A38" s="6">
        <f t="shared" si="12"/>
        <v>36</v>
      </c>
      <c r="B38" s="39" t="s">
        <v>232</v>
      </c>
      <c r="C38" s="170" t="s">
        <v>233</v>
      </c>
      <c r="D38" s="171" t="s">
        <v>234</v>
      </c>
      <c r="E38" s="171" t="s">
        <v>32</v>
      </c>
      <c r="F38" s="171" t="s">
        <v>235</v>
      </c>
      <c r="G38" s="171" t="s">
        <v>236</v>
      </c>
      <c r="H38" s="172" t="s">
        <v>35</v>
      </c>
      <c r="I38" s="172" t="s">
        <v>35</v>
      </c>
      <c r="J38" s="171" t="s">
        <v>196</v>
      </c>
      <c r="K38" s="41">
        <v>1</v>
      </c>
      <c r="L38" s="42">
        <f t="shared" si="0"/>
        <v>5</v>
      </c>
      <c r="M38" s="42">
        <f t="shared" si="1"/>
        <v>25</v>
      </c>
      <c r="N38" s="42">
        <f t="shared" si="2"/>
        <v>100</v>
      </c>
      <c r="O38" s="64"/>
      <c r="P38" s="64"/>
      <c r="Q38" s="64"/>
      <c r="R38" s="64"/>
      <c r="S38" s="42"/>
      <c r="T38" s="87"/>
      <c r="U38" s="87">
        <f t="shared" si="8"/>
        <v>0</v>
      </c>
      <c r="V38" s="87"/>
      <c r="W38" s="87">
        <f t="shared" si="9"/>
        <v>0</v>
      </c>
      <c r="X38" s="87"/>
      <c r="Y38" s="87">
        <f t="shared" si="10"/>
        <v>0</v>
      </c>
      <c r="Z38" s="87"/>
      <c r="AA38" s="87">
        <f t="shared" si="11"/>
        <v>0</v>
      </c>
      <c r="AB38" s="87" t="s">
        <v>227</v>
      </c>
    </row>
    <row r="39" s="1" customFormat="1" spans="1:28">
      <c r="A39" s="6">
        <f t="shared" si="12"/>
        <v>37</v>
      </c>
      <c r="B39" s="7" t="s">
        <v>237</v>
      </c>
      <c r="C39" s="164" t="s">
        <v>238</v>
      </c>
      <c r="D39" s="150" t="s">
        <v>239</v>
      </c>
      <c r="E39" s="149" t="s">
        <v>32</v>
      </c>
      <c r="F39" s="150" t="s">
        <v>240</v>
      </c>
      <c r="G39" s="150" t="s">
        <v>74</v>
      </c>
      <c r="H39" s="150" t="s">
        <v>35</v>
      </c>
      <c r="I39" s="62" t="s">
        <v>241</v>
      </c>
      <c r="J39" s="150" t="s">
        <v>242</v>
      </c>
      <c r="K39" s="60">
        <v>1</v>
      </c>
      <c r="L39" s="11">
        <f t="shared" si="0"/>
        <v>5</v>
      </c>
      <c r="M39" s="11">
        <f t="shared" si="1"/>
        <v>25</v>
      </c>
      <c r="N39" s="11">
        <f t="shared" si="2"/>
        <v>100</v>
      </c>
      <c r="O39" s="51">
        <v>5</v>
      </c>
      <c r="P39" s="51">
        <v>10</v>
      </c>
      <c r="Q39" s="51">
        <v>30</v>
      </c>
      <c r="R39" s="51">
        <v>105</v>
      </c>
      <c r="S39" s="84" t="s">
        <v>38</v>
      </c>
      <c r="T39" s="85">
        <v>0.4941</v>
      </c>
      <c r="U39" s="70">
        <f t="shared" si="8"/>
        <v>2.4705</v>
      </c>
      <c r="V39" s="85">
        <v>0.4022</v>
      </c>
      <c r="W39" s="70">
        <f t="shared" si="9"/>
        <v>4.022</v>
      </c>
      <c r="X39" s="85">
        <v>0.3355</v>
      </c>
      <c r="Y39" s="70">
        <f t="shared" si="10"/>
        <v>10.065</v>
      </c>
      <c r="Z39" s="69">
        <v>0.2674</v>
      </c>
      <c r="AA39" s="70">
        <f t="shared" si="11"/>
        <v>28.077</v>
      </c>
      <c r="AB39" s="94"/>
    </row>
    <row r="40" s="1" customFormat="1" spans="1:28">
      <c r="A40" s="6">
        <f t="shared" si="12"/>
        <v>38</v>
      </c>
      <c r="B40" s="12"/>
      <c r="C40" s="151" t="s">
        <v>243</v>
      </c>
      <c r="D40" s="152" t="s">
        <v>244</v>
      </c>
      <c r="E40" s="153" t="s">
        <v>32</v>
      </c>
      <c r="F40" s="152" t="s">
        <v>245</v>
      </c>
      <c r="G40" s="152" t="s">
        <v>246</v>
      </c>
      <c r="H40" s="152" t="s">
        <v>35</v>
      </c>
      <c r="I40" s="19" t="s">
        <v>247</v>
      </c>
      <c r="J40" s="152" t="s">
        <v>248</v>
      </c>
      <c r="K40" s="58">
        <v>1</v>
      </c>
      <c r="L40" s="14">
        <f t="shared" si="0"/>
        <v>5</v>
      </c>
      <c r="M40" s="14">
        <f t="shared" si="1"/>
        <v>25</v>
      </c>
      <c r="N40" s="14">
        <f t="shared" si="2"/>
        <v>100</v>
      </c>
      <c r="O40" s="54">
        <v>10</v>
      </c>
      <c r="P40" s="54">
        <v>10</v>
      </c>
      <c r="Q40" s="54">
        <v>30</v>
      </c>
      <c r="R40" s="54">
        <v>110</v>
      </c>
      <c r="S40" s="88" t="s">
        <v>38</v>
      </c>
      <c r="T40" s="80">
        <v>0.0732</v>
      </c>
      <c r="U40" s="73">
        <f t="shared" si="8"/>
        <v>0.732</v>
      </c>
      <c r="V40" s="80">
        <v>0.0732</v>
      </c>
      <c r="W40" s="73">
        <f t="shared" si="9"/>
        <v>0.732</v>
      </c>
      <c r="X40" s="80">
        <v>0.0732</v>
      </c>
      <c r="Y40" s="73">
        <f t="shared" si="10"/>
        <v>2.196</v>
      </c>
      <c r="Z40" s="80">
        <v>0.0595</v>
      </c>
      <c r="AA40" s="73">
        <f t="shared" si="11"/>
        <v>6.545</v>
      </c>
      <c r="AB40" s="99"/>
    </row>
    <row r="41" s="1" customFormat="1" ht="13.5" spans="1:28">
      <c r="A41" s="6">
        <f t="shared" si="12"/>
        <v>39</v>
      </c>
      <c r="B41" s="27"/>
      <c r="C41" s="165" t="s">
        <v>249</v>
      </c>
      <c r="D41" s="163" t="s">
        <v>250</v>
      </c>
      <c r="E41" s="162" t="s">
        <v>32</v>
      </c>
      <c r="F41" s="166" t="s">
        <v>251</v>
      </c>
      <c r="G41" s="163" t="s">
        <v>74</v>
      </c>
      <c r="H41" s="43" t="s">
        <v>252</v>
      </c>
      <c r="I41" s="35" t="s">
        <v>253</v>
      </c>
      <c r="J41" s="162" t="s">
        <v>196</v>
      </c>
      <c r="K41" s="61">
        <v>4</v>
      </c>
      <c r="L41" s="31">
        <f t="shared" si="0"/>
        <v>20</v>
      </c>
      <c r="M41" s="31">
        <f t="shared" si="1"/>
        <v>100</v>
      </c>
      <c r="N41" s="31">
        <f t="shared" si="2"/>
        <v>400</v>
      </c>
      <c r="O41" s="59">
        <v>10</v>
      </c>
      <c r="P41" s="59">
        <v>25</v>
      </c>
      <c r="Q41" s="59">
        <v>105</v>
      </c>
      <c r="R41" s="59">
        <v>405</v>
      </c>
      <c r="S41" s="89" t="s">
        <v>38</v>
      </c>
      <c r="T41" s="82">
        <v>0.1747</v>
      </c>
      <c r="U41" s="83">
        <f t="shared" si="8"/>
        <v>1.747</v>
      </c>
      <c r="V41" s="82">
        <v>0.1445</v>
      </c>
      <c r="W41" s="83">
        <f t="shared" si="9"/>
        <v>3.6125</v>
      </c>
      <c r="X41" s="90">
        <v>0.089</v>
      </c>
      <c r="Y41" s="83">
        <f t="shared" si="10"/>
        <v>9.345</v>
      </c>
      <c r="Z41" s="90">
        <v>0.089</v>
      </c>
      <c r="AA41" s="83">
        <f t="shared" si="11"/>
        <v>36.045</v>
      </c>
      <c r="AB41" s="102" t="s">
        <v>254</v>
      </c>
    </row>
    <row r="42" s="1" customFormat="1" ht="13.5" spans="1:28">
      <c r="A42" s="6">
        <f t="shared" si="12"/>
        <v>40</v>
      </c>
      <c r="B42" s="44" t="s">
        <v>255</v>
      </c>
      <c r="C42" s="173" t="s">
        <v>256</v>
      </c>
      <c r="D42" s="174" t="s">
        <v>257</v>
      </c>
      <c r="E42" s="175" t="s">
        <v>258</v>
      </c>
      <c r="F42" s="175" t="s">
        <v>259</v>
      </c>
      <c r="G42" s="175" t="s">
        <v>260</v>
      </c>
      <c r="H42" s="176" t="s">
        <v>35</v>
      </c>
      <c r="I42" s="176" t="s">
        <v>35</v>
      </c>
      <c r="J42" s="175" t="s">
        <v>196</v>
      </c>
      <c r="K42" s="47">
        <v>8</v>
      </c>
      <c r="L42" s="48">
        <f t="shared" si="0"/>
        <v>40</v>
      </c>
      <c r="M42" s="48">
        <f t="shared" si="1"/>
        <v>200</v>
      </c>
      <c r="N42" s="48">
        <f t="shared" si="2"/>
        <v>800</v>
      </c>
      <c r="O42" s="65">
        <v>10</v>
      </c>
      <c r="P42" s="65">
        <v>45</v>
      </c>
      <c r="Q42" s="65">
        <v>205</v>
      </c>
      <c r="R42" s="65">
        <v>805</v>
      </c>
      <c r="S42" s="91" t="s">
        <v>261</v>
      </c>
      <c r="T42" s="92">
        <v>1.376</v>
      </c>
      <c r="U42" s="92">
        <f t="shared" si="8"/>
        <v>13.76</v>
      </c>
      <c r="V42" s="92">
        <v>1.376</v>
      </c>
      <c r="W42" s="92">
        <f t="shared" si="9"/>
        <v>61.92</v>
      </c>
      <c r="X42" s="92">
        <v>1.376</v>
      </c>
      <c r="Y42" s="92">
        <f t="shared" si="10"/>
        <v>282.08</v>
      </c>
      <c r="Z42" s="92">
        <v>1.376</v>
      </c>
      <c r="AA42" s="92">
        <f t="shared" si="11"/>
        <v>1107.68</v>
      </c>
      <c r="AB42" s="103"/>
    </row>
    <row r="43" s="1" customFormat="1" spans="1:28">
      <c r="A43" s="6">
        <f t="shared" si="12"/>
        <v>41</v>
      </c>
      <c r="B43" s="7" t="s">
        <v>262</v>
      </c>
      <c r="C43" s="148" t="s">
        <v>263</v>
      </c>
      <c r="D43" s="177" t="s">
        <v>264</v>
      </c>
      <c r="E43" s="149" t="s">
        <v>187</v>
      </c>
      <c r="F43" s="149" t="s">
        <v>265</v>
      </c>
      <c r="G43" s="149" t="s">
        <v>60</v>
      </c>
      <c r="H43" s="150" t="s">
        <v>35</v>
      </c>
      <c r="I43" s="66" t="s">
        <v>266</v>
      </c>
      <c r="J43" s="149" t="s">
        <v>267</v>
      </c>
      <c r="K43" s="10">
        <v>2</v>
      </c>
      <c r="L43" s="11">
        <f t="shared" si="0"/>
        <v>10</v>
      </c>
      <c r="M43" s="11">
        <f t="shared" si="1"/>
        <v>50</v>
      </c>
      <c r="N43" s="11">
        <f t="shared" si="2"/>
        <v>200</v>
      </c>
      <c r="O43" s="51">
        <v>100</v>
      </c>
      <c r="P43" s="51">
        <v>100</v>
      </c>
      <c r="Q43" s="51">
        <v>100</v>
      </c>
      <c r="R43" s="51">
        <v>300</v>
      </c>
      <c r="S43" s="84" t="s">
        <v>38</v>
      </c>
      <c r="T43" s="85">
        <v>0.0012</v>
      </c>
      <c r="U43" s="70">
        <f t="shared" si="8"/>
        <v>0.12</v>
      </c>
      <c r="V43" s="85">
        <v>0.0012</v>
      </c>
      <c r="W43" s="70">
        <f t="shared" si="9"/>
        <v>0.12</v>
      </c>
      <c r="X43" s="85">
        <v>0.0012</v>
      </c>
      <c r="Y43" s="70">
        <f t="shared" si="10"/>
        <v>0.12</v>
      </c>
      <c r="Z43" s="85">
        <v>0.0012</v>
      </c>
      <c r="AA43" s="70">
        <f t="shared" si="11"/>
        <v>0.36</v>
      </c>
      <c r="AB43" s="104"/>
    </row>
    <row r="44" s="1" customFormat="1" spans="1:28">
      <c r="A44" s="6">
        <f t="shared" si="12"/>
        <v>42</v>
      </c>
      <c r="B44" s="12"/>
      <c r="C44" s="151" t="s">
        <v>268</v>
      </c>
      <c r="D44" s="152" t="s">
        <v>269</v>
      </c>
      <c r="E44" s="152" t="s">
        <v>187</v>
      </c>
      <c r="F44" s="152" t="s">
        <v>270</v>
      </c>
      <c r="G44" s="152" t="s">
        <v>60</v>
      </c>
      <c r="H44" s="152" t="s">
        <v>35</v>
      </c>
      <c r="I44" s="19" t="s">
        <v>271</v>
      </c>
      <c r="J44" s="152" t="s">
        <v>272</v>
      </c>
      <c r="K44" s="58">
        <v>1</v>
      </c>
      <c r="L44" s="14">
        <f t="shared" si="0"/>
        <v>5</v>
      </c>
      <c r="M44" s="14">
        <f t="shared" si="1"/>
        <v>25</v>
      </c>
      <c r="N44" s="14">
        <f t="shared" si="2"/>
        <v>100</v>
      </c>
      <c r="O44" s="54">
        <v>100</v>
      </c>
      <c r="P44" s="54">
        <v>100</v>
      </c>
      <c r="Q44" s="54">
        <v>100</v>
      </c>
      <c r="R44" s="54">
        <v>200</v>
      </c>
      <c r="S44" s="77" t="s">
        <v>38</v>
      </c>
      <c r="T44" s="80">
        <v>0.0014</v>
      </c>
      <c r="U44" s="73">
        <f t="shared" si="8"/>
        <v>0.14</v>
      </c>
      <c r="V44" s="80">
        <v>0.0014</v>
      </c>
      <c r="W44" s="73">
        <f t="shared" si="9"/>
        <v>0.14</v>
      </c>
      <c r="X44" s="80">
        <v>0.0014</v>
      </c>
      <c r="Y44" s="73">
        <f t="shared" si="10"/>
        <v>0.14</v>
      </c>
      <c r="Z44" s="80">
        <v>0.0014</v>
      </c>
      <c r="AA44" s="73">
        <f t="shared" si="11"/>
        <v>0.28</v>
      </c>
      <c r="AB44" s="99"/>
    </row>
    <row r="45" s="1" customFormat="1" spans="1:28">
      <c r="A45" s="6">
        <f t="shared" si="12"/>
        <v>43</v>
      </c>
      <c r="B45" s="12"/>
      <c r="C45" s="154" t="s">
        <v>273</v>
      </c>
      <c r="D45" s="157" t="s">
        <v>274</v>
      </c>
      <c r="E45" s="153" t="s">
        <v>187</v>
      </c>
      <c r="F45" s="153" t="s">
        <v>275</v>
      </c>
      <c r="G45" s="153" t="s">
        <v>60</v>
      </c>
      <c r="H45" s="152" t="s">
        <v>35</v>
      </c>
      <c r="I45" s="19" t="s">
        <v>276</v>
      </c>
      <c r="J45" s="153" t="s">
        <v>277</v>
      </c>
      <c r="K45" s="15">
        <v>2</v>
      </c>
      <c r="L45" s="14">
        <f t="shared" si="0"/>
        <v>10</v>
      </c>
      <c r="M45" s="14">
        <f t="shared" si="1"/>
        <v>50</v>
      </c>
      <c r="N45" s="14">
        <f t="shared" si="2"/>
        <v>200</v>
      </c>
      <c r="O45" s="54">
        <v>100</v>
      </c>
      <c r="P45" s="54">
        <v>100</v>
      </c>
      <c r="Q45" s="54">
        <v>100</v>
      </c>
      <c r="R45" s="54">
        <v>300</v>
      </c>
      <c r="S45" s="77" t="s">
        <v>38</v>
      </c>
      <c r="T45" s="80">
        <v>0.0013</v>
      </c>
      <c r="U45" s="73">
        <f t="shared" si="8"/>
        <v>0.13</v>
      </c>
      <c r="V45" s="80">
        <v>0.0013</v>
      </c>
      <c r="W45" s="73">
        <f t="shared" si="9"/>
        <v>0.13</v>
      </c>
      <c r="X45" s="80">
        <v>0.0013</v>
      </c>
      <c r="Y45" s="73">
        <f t="shared" si="10"/>
        <v>0.13</v>
      </c>
      <c r="Z45" s="80">
        <v>0.0013</v>
      </c>
      <c r="AA45" s="73">
        <f t="shared" si="11"/>
        <v>0.39</v>
      </c>
      <c r="AB45" s="95"/>
    </row>
    <row r="46" s="1" customFormat="1" spans="1:28">
      <c r="A46" s="6">
        <f t="shared" si="12"/>
        <v>44</v>
      </c>
      <c r="B46" s="12"/>
      <c r="C46" s="151" t="s">
        <v>278</v>
      </c>
      <c r="D46" s="152" t="s">
        <v>279</v>
      </c>
      <c r="E46" s="152" t="s">
        <v>187</v>
      </c>
      <c r="F46" s="152" t="s">
        <v>280</v>
      </c>
      <c r="G46" s="152" t="s">
        <v>60</v>
      </c>
      <c r="H46" s="152" t="s">
        <v>35</v>
      </c>
      <c r="I46" s="19" t="s">
        <v>281</v>
      </c>
      <c r="J46" s="152" t="s">
        <v>282</v>
      </c>
      <c r="K46" s="58">
        <v>3</v>
      </c>
      <c r="L46" s="14">
        <f t="shared" si="0"/>
        <v>15</v>
      </c>
      <c r="M46" s="14">
        <f t="shared" si="1"/>
        <v>75</v>
      </c>
      <c r="N46" s="14">
        <f t="shared" si="2"/>
        <v>300</v>
      </c>
      <c r="O46" s="54">
        <v>100</v>
      </c>
      <c r="P46" s="54">
        <v>100</v>
      </c>
      <c r="Q46" s="54">
        <v>100</v>
      </c>
      <c r="R46" s="54">
        <v>400</v>
      </c>
      <c r="S46" s="77" t="s">
        <v>38</v>
      </c>
      <c r="T46" s="80">
        <v>0.0013</v>
      </c>
      <c r="U46" s="73">
        <f t="shared" si="8"/>
        <v>0.13</v>
      </c>
      <c r="V46" s="80">
        <v>0.0013</v>
      </c>
      <c r="W46" s="73">
        <f t="shared" si="9"/>
        <v>0.13</v>
      </c>
      <c r="X46" s="80">
        <v>0.0013</v>
      </c>
      <c r="Y46" s="73">
        <f t="shared" si="10"/>
        <v>0.13</v>
      </c>
      <c r="Z46" s="80">
        <v>0.0013</v>
      </c>
      <c r="AA46" s="73">
        <f t="shared" si="11"/>
        <v>0.52</v>
      </c>
      <c r="AB46" s="99"/>
    </row>
    <row r="47" s="1" customFormat="1" spans="1:28">
      <c r="A47" s="6">
        <f t="shared" si="12"/>
        <v>45</v>
      </c>
      <c r="B47" s="12"/>
      <c r="C47" s="154" t="s">
        <v>283</v>
      </c>
      <c r="D47" s="157" t="s">
        <v>284</v>
      </c>
      <c r="E47" s="153" t="s">
        <v>187</v>
      </c>
      <c r="F47" s="153" t="s">
        <v>285</v>
      </c>
      <c r="G47" s="153" t="s">
        <v>60</v>
      </c>
      <c r="H47" s="152" t="s">
        <v>35</v>
      </c>
      <c r="I47" s="19" t="s">
        <v>286</v>
      </c>
      <c r="J47" s="153" t="s">
        <v>287</v>
      </c>
      <c r="K47" s="15">
        <v>4</v>
      </c>
      <c r="L47" s="14">
        <f t="shared" si="0"/>
        <v>20</v>
      </c>
      <c r="M47" s="14">
        <f t="shared" si="1"/>
        <v>100</v>
      </c>
      <c r="N47" s="14">
        <f t="shared" si="2"/>
        <v>400</v>
      </c>
      <c r="O47" s="54">
        <v>100</v>
      </c>
      <c r="P47" s="54">
        <v>100</v>
      </c>
      <c r="Q47" s="54">
        <v>200</v>
      </c>
      <c r="R47" s="54">
        <v>500</v>
      </c>
      <c r="S47" s="77" t="s">
        <v>38</v>
      </c>
      <c r="T47" s="80">
        <v>0.0016</v>
      </c>
      <c r="U47" s="73">
        <f t="shared" si="8"/>
        <v>0.16</v>
      </c>
      <c r="V47" s="80">
        <v>0.0016</v>
      </c>
      <c r="W47" s="73">
        <f t="shared" si="9"/>
        <v>0.16</v>
      </c>
      <c r="X47" s="80">
        <v>0.0016</v>
      </c>
      <c r="Y47" s="73">
        <f t="shared" si="10"/>
        <v>0.32</v>
      </c>
      <c r="Z47" s="80">
        <v>0.0016</v>
      </c>
      <c r="AA47" s="73">
        <f t="shared" si="11"/>
        <v>0.8</v>
      </c>
      <c r="AB47" s="95"/>
    </row>
    <row r="48" s="1" customFormat="1" spans="1:28">
      <c r="A48" s="6">
        <f t="shared" si="12"/>
        <v>46</v>
      </c>
      <c r="B48" s="12"/>
      <c r="C48" s="154" t="s">
        <v>288</v>
      </c>
      <c r="D48" s="157" t="s">
        <v>289</v>
      </c>
      <c r="E48" s="153" t="s">
        <v>290</v>
      </c>
      <c r="F48" s="156" t="s">
        <v>291</v>
      </c>
      <c r="G48" s="14" t="s">
        <v>292</v>
      </c>
      <c r="H48" s="49" t="s">
        <v>293</v>
      </c>
      <c r="I48" s="19" t="s">
        <v>294</v>
      </c>
      <c r="J48" s="153" t="s">
        <v>295</v>
      </c>
      <c r="K48" s="15">
        <v>4</v>
      </c>
      <c r="L48" s="14">
        <f t="shared" si="0"/>
        <v>20</v>
      </c>
      <c r="M48" s="14">
        <f t="shared" si="1"/>
        <v>100</v>
      </c>
      <c r="N48" s="14">
        <f t="shared" si="2"/>
        <v>400</v>
      </c>
      <c r="O48" s="54">
        <v>10</v>
      </c>
      <c r="P48" s="54">
        <v>30</v>
      </c>
      <c r="Q48" s="54">
        <v>110</v>
      </c>
      <c r="R48" s="54">
        <v>410</v>
      </c>
      <c r="S48" s="77" t="s">
        <v>38</v>
      </c>
      <c r="T48" s="80">
        <v>0.1446</v>
      </c>
      <c r="U48" s="73">
        <f t="shared" si="8"/>
        <v>1.446</v>
      </c>
      <c r="V48" s="80">
        <v>0.1446</v>
      </c>
      <c r="W48" s="73">
        <f t="shared" si="9"/>
        <v>4.338</v>
      </c>
      <c r="X48" s="80">
        <v>0.1193</v>
      </c>
      <c r="Y48" s="73">
        <f t="shared" si="10"/>
        <v>13.123</v>
      </c>
      <c r="Z48" s="80">
        <v>0.101</v>
      </c>
      <c r="AA48" s="73">
        <f t="shared" si="11"/>
        <v>41.41</v>
      </c>
      <c r="AB48" s="95" t="s">
        <v>296</v>
      </c>
    </row>
    <row r="49" s="1" customFormat="1" ht="25.5" spans="1:28">
      <c r="A49" s="6">
        <f t="shared" si="12"/>
        <v>47</v>
      </c>
      <c r="B49" s="12"/>
      <c r="C49" s="154" t="s">
        <v>297</v>
      </c>
      <c r="D49" s="178" t="s">
        <v>298</v>
      </c>
      <c r="E49" s="153" t="s">
        <v>187</v>
      </c>
      <c r="F49" s="153" t="s">
        <v>299</v>
      </c>
      <c r="G49" s="14" t="s">
        <v>60</v>
      </c>
      <c r="H49" s="152" t="s">
        <v>35</v>
      </c>
      <c r="I49" s="19" t="s">
        <v>300</v>
      </c>
      <c r="J49" s="153" t="s">
        <v>301</v>
      </c>
      <c r="K49" s="15">
        <v>8</v>
      </c>
      <c r="L49" s="14">
        <f t="shared" si="0"/>
        <v>40</v>
      </c>
      <c r="M49" s="14">
        <f t="shared" si="1"/>
        <v>200</v>
      </c>
      <c r="N49" s="14">
        <f t="shared" si="2"/>
        <v>800</v>
      </c>
      <c r="O49" s="54">
        <v>100</v>
      </c>
      <c r="P49" s="54">
        <v>100</v>
      </c>
      <c r="Q49" s="54">
        <v>300</v>
      </c>
      <c r="R49" s="54">
        <v>900</v>
      </c>
      <c r="S49" s="77" t="s">
        <v>38</v>
      </c>
      <c r="T49" s="80">
        <v>0.0014</v>
      </c>
      <c r="U49" s="73">
        <f t="shared" si="8"/>
        <v>0.14</v>
      </c>
      <c r="V49" s="80">
        <v>0.0014</v>
      </c>
      <c r="W49" s="73">
        <f t="shared" si="9"/>
        <v>0.14</v>
      </c>
      <c r="X49" s="80">
        <v>0.0014</v>
      </c>
      <c r="Y49" s="73">
        <f t="shared" si="10"/>
        <v>0.42</v>
      </c>
      <c r="Z49" s="80">
        <v>0.0014</v>
      </c>
      <c r="AA49" s="73">
        <f t="shared" si="11"/>
        <v>1.26</v>
      </c>
      <c r="AB49" s="95"/>
    </row>
    <row r="50" s="1" customFormat="1" spans="1:28">
      <c r="A50" s="6">
        <f t="shared" si="12"/>
        <v>48</v>
      </c>
      <c r="B50" s="12"/>
      <c r="C50" s="154" t="s">
        <v>302</v>
      </c>
      <c r="D50" s="157" t="s">
        <v>303</v>
      </c>
      <c r="E50" s="153" t="s">
        <v>187</v>
      </c>
      <c r="F50" s="156" t="s">
        <v>304</v>
      </c>
      <c r="G50" s="14" t="s">
        <v>60</v>
      </c>
      <c r="H50" s="19" t="s">
        <v>305</v>
      </c>
      <c r="I50" s="19" t="s">
        <v>306</v>
      </c>
      <c r="J50" s="153" t="s">
        <v>307</v>
      </c>
      <c r="K50" s="15">
        <v>1</v>
      </c>
      <c r="L50" s="14">
        <f t="shared" si="0"/>
        <v>5</v>
      </c>
      <c r="M50" s="14">
        <f t="shared" si="1"/>
        <v>25</v>
      </c>
      <c r="N50" s="14">
        <f t="shared" si="2"/>
        <v>100</v>
      </c>
      <c r="O50" s="54">
        <v>100</v>
      </c>
      <c r="P50" s="54">
        <v>100</v>
      </c>
      <c r="Q50" s="54">
        <v>100</v>
      </c>
      <c r="R50" s="54">
        <v>200</v>
      </c>
      <c r="S50" s="77" t="s">
        <v>38</v>
      </c>
      <c r="T50" s="80">
        <v>0.0011</v>
      </c>
      <c r="U50" s="73">
        <f t="shared" si="8"/>
        <v>0.11</v>
      </c>
      <c r="V50" s="80">
        <v>0.0011</v>
      </c>
      <c r="W50" s="73">
        <f t="shared" si="9"/>
        <v>0.11</v>
      </c>
      <c r="X50" s="80">
        <v>0.0011</v>
      </c>
      <c r="Y50" s="73">
        <f t="shared" si="10"/>
        <v>0.11</v>
      </c>
      <c r="Z50" s="80">
        <v>0.0011</v>
      </c>
      <c r="AA50" s="73">
        <f t="shared" si="11"/>
        <v>0.22</v>
      </c>
      <c r="AB50" s="95" t="s">
        <v>308</v>
      </c>
    </row>
    <row r="51" s="1" customFormat="1" spans="1:28">
      <c r="A51" s="6">
        <f t="shared" si="12"/>
        <v>49</v>
      </c>
      <c r="B51" s="12"/>
      <c r="C51" s="154" t="s">
        <v>309</v>
      </c>
      <c r="D51" s="157" t="s">
        <v>310</v>
      </c>
      <c r="E51" s="153" t="s">
        <v>187</v>
      </c>
      <c r="F51" s="153" t="s">
        <v>311</v>
      </c>
      <c r="G51" s="14" t="s">
        <v>60</v>
      </c>
      <c r="H51" s="152" t="s">
        <v>35</v>
      </c>
      <c r="I51" s="19" t="s">
        <v>312</v>
      </c>
      <c r="J51" s="153" t="s">
        <v>313</v>
      </c>
      <c r="K51" s="15">
        <v>1</v>
      </c>
      <c r="L51" s="14">
        <f t="shared" si="0"/>
        <v>5</v>
      </c>
      <c r="M51" s="14">
        <f t="shared" si="1"/>
        <v>25</v>
      </c>
      <c r="N51" s="14">
        <f t="shared" si="2"/>
        <v>100</v>
      </c>
      <c r="O51" s="54">
        <v>100</v>
      </c>
      <c r="P51" s="54">
        <v>100</v>
      </c>
      <c r="Q51" s="54">
        <v>100</v>
      </c>
      <c r="R51" s="54">
        <v>200</v>
      </c>
      <c r="S51" s="77" t="s">
        <v>38</v>
      </c>
      <c r="T51" s="80">
        <v>0.0017</v>
      </c>
      <c r="U51" s="73">
        <f t="shared" si="8"/>
        <v>0.17</v>
      </c>
      <c r="V51" s="80">
        <v>0.0017</v>
      </c>
      <c r="W51" s="73">
        <f t="shared" si="9"/>
        <v>0.17</v>
      </c>
      <c r="X51" s="80">
        <v>0.0017</v>
      </c>
      <c r="Y51" s="73">
        <f t="shared" si="10"/>
        <v>0.17</v>
      </c>
      <c r="Z51" s="80">
        <v>0.0017</v>
      </c>
      <c r="AA51" s="73">
        <f t="shared" si="11"/>
        <v>0.34</v>
      </c>
      <c r="AB51" s="95"/>
    </row>
    <row r="52" s="1" customFormat="1" spans="1:28">
      <c r="A52" s="6">
        <f t="shared" si="12"/>
        <v>50</v>
      </c>
      <c r="B52" s="12"/>
      <c r="C52" s="154" t="s">
        <v>314</v>
      </c>
      <c r="D52" s="157" t="s">
        <v>315</v>
      </c>
      <c r="E52" s="153" t="s">
        <v>187</v>
      </c>
      <c r="F52" s="156" t="s">
        <v>316</v>
      </c>
      <c r="G52" s="14" t="s">
        <v>317</v>
      </c>
      <c r="H52" s="19" t="s">
        <v>318</v>
      </c>
      <c r="I52" s="19" t="s">
        <v>319</v>
      </c>
      <c r="J52" s="153" t="s">
        <v>320</v>
      </c>
      <c r="K52" s="15">
        <v>1</v>
      </c>
      <c r="L52" s="14">
        <f t="shared" si="0"/>
        <v>5</v>
      </c>
      <c r="M52" s="14">
        <f t="shared" si="1"/>
        <v>25</v>
      </c>
      <c r="N52" s="14">
        <f t="shared" si="2"/>
        <v>100</v>
      </c>
      <c r="O52" s="54">
        <v>100</v>
      </c>
      <c r="P52" s="54">
        <v>100</v>
      </c>
      <c r="Q52" s="54">
        <v>100</v>
      </c>
      <c r="R52" s="54">
        <v>200</v>
      </c>
      <c r="S52" s="77" t="s">
        <v>38</v>
      </c>
      <c r="T52" s="80">
        <v>0.0012</v>
      </c>
      <c r="U52" s="73">
        <f t="shared" si="8"/>
        <v>0.12</v>
      </c>
      <c r="V52" s="80">
        <v>0.0012</v>
      </c>
      <c r="W52" s="73">
        <f t="shared" si="9"/>
        <v>0.12</v>
      </c>
      <c r="X52" s="80">
        <v>0.0012</v>
      </c>
      <c r="Y52" s="73">
        <f t="shared" si="10"/>
        <v>0.12</v>
      </c>
      <c r="Z52" s="80">
        <v>0.0012</v>
      </c>
      <c r="AA52" s="73">
        <f t="shared" si="11"/>
        <v>0.24</v>
      </c>
      <c r="AB52" s="95"/>
    </row>
    <row r="53" s="1" customFormat="1" spans="1:28">
      <c r="A53" s="6">
        <f t="shared" si="12"/>
        <v>51</v>
      </c>
      <c r="B53" s="12"/>
      <c r="C53" s="154" t="s">
        <v>321</v>
      </c>
      <c r="D53" s="20" t="s">
        <v>322</v>
      </c>
      <c r="E53" s="153" t="s">
        <v>187</v>
      </c>
      <c r="F53" s="153" t="s">
        <v>323</v>
      </c>
      <c r="G53" s="14" t="s">
        <v>60</v>
      </c>
      <c r="H53" s="152" t="s">
        <v>35</v>
      </c>
      <c r="I53" s="19" t="s">
        <v>324</v>
      </c>
      <c r="J53" s="153" t="s">
        <v>325</v>
      </c>
      <c r="K53" s="15">
        <v>1</v>
      </c>
      <c r="L53" s="14">
        <f t="shared" si="0"/>
        <v>5</v>
      </c>
      <c r="M53" s="14">
        <f t="shared" si="1"/>
        <v>25</v>
      </c>
      <c r="N53" s="14">
        <f t="shared" si="2"/>
        <v>100</v>
      </c>
      <c r="O53" s="54">
        <v>100</v>
      </c>
      <c r="P53" s="54">
        <v>100</v>
      </c>
      <c r="Q53" s="54">
        <v>100</v>
      </c>
      <c r="R53" s="54">
        <v>200</v>
      </c>
      <c r="S53" s="77" t="s">
        <v>38</v>
      </c>
      <c r="T53" s="80">
        <v>0.0012</v>
      </c>
      <c r="U53" s="73">
        <f t="shared" si="8"/>
        <v>0.12</v>
      </c>
      <c r="V53" s="80">
        <v>0.0012</v>
      </c>
      <c r="W53" s="73">
        <f t="shared" si="9"/>
        <v>0.12</v>
      </c>
      <c r="X53" s="80">
        <v>0.0012</v>
      </c>
      <c r="Y53" s="73">
        <f t="shared" si="10"/>
        <v>0.12</v>
      </c>
      <c r="Z53" s="80">
        <v>0.0012</v>
      </c>
      <c r="AA53" s="73">
        <f t="shared" si="11"/>
        <v>0.24</v>
      </c>
      <c r="AB53" s="95"/>
    </row>
    <row r="54" s="1" customFormat="1" spans="1:28">
      <c r="A54" s="6">
        <f t="shared" si="12"/>
        <v>52</v>
      </c>
      <c r="B54" s="12"/>
      <c r="C54" s="154" t="s">
        <v>326</v>
      </c>
      <c r="D54" s="157" t="s">
        <v>327</v>
      </c>
      <c r="E54" s="153" t="s">
        <v>187</v>
      </c>
      <c r="F54" s="153" t="s">
        <v>328</v>
      </c>
      <c r="G54" s="14" t="s">
        <v>317</v>
      </c>
      <c r="H54" s="152" t="s">
        <v>35</v>
      </c>
      <c r="I54" s="19" t="s">
        <v>329</v>
      </c>
      <c r="J54" s="153" t="s">
        <v>330</v>
      </c>
      <c r="K54" s="15">
        <v>1</v>
      </c>
      <c r="L54" s="14">
        <f t="shared" si="0"/>
        <v>5</v>
      </c>
      <c r="M54" s="14">
        <f t="shared" si="1"/>
        <v>25</v>
      </c>
      <c r="N54" s="14">
        <f t="shared" si="2"/>
        <v>100</v>
      </c>
      <c r="O54" s="54">
        <v>50</v>
      </c>
      <c r="P54" s="54">
        <v>50</v>
      </c>
      <c r="Q54" s="54">
        <v>50</v>
      </c>
      <c r="R54" s="54">
        <v>150</v>
      </c>
      <c r="S54" s="77" t="s">
        <v>38</v>
      </c>
      <c r="T54" s="75">
        <v>0.0087</v>
      </c>
      <c r="U54" s="73">
        <f t="shared" si="8"/>
        <v>0.435</v>
      </c>
      <c r="V54" s="75">
        <v>0.0087</v>
      </c>
      <c r="W54" s="73">
        <f t="shared" si="9"/>
        <v>0.435</v>
      </c>
      <c r="X54" s="75">
        <v>0.0087</v>
      </c>
      <c r="Y54" s="73">
        <f t="shared" si="10"/>
        <v>0.435</v>
      </c>
      <c r="Z54" s="75">
        <v>0.0087</v>
      </c>
      <c r="AA54" s="73">
        <f t="shared" si="11"/>
        <v>1.305</v>
      </c>
      <c r="AB54" s="95"/>
    </row>
    <row r="55" s="1" customFormat="1" spans="1:28">
      <c r="A55" s="6">
        <f t="shared" si="12"/>
        <v>53</v>
      </c>
      <c r="B55" s="12"/>
      <c r="C55" s="154" t="s">
        <v>331</v>
      </c>
      <c r="D55" s="157" t="s">
        <v>332</v>
      </c>
      <c r="E55" s="153" t="s">
        <v>187</v>
      </c>
      <c r="F55" s="153" t="s">
        <v>333</v>
      </c>
      <c r="G55" s="14" t="s">
        <v>60</v>
      </c>
      <c r="H55" s="152" t="s">
        <v>35</v>
      </c>
      <c r="I55" s="19" t="s">
        <v>334</v>
      </c>
      <c r="J55" s="153" t="s">
        <v>335</v>
      </c>
      <c r="K55" s="15">
        <v>1</v>
      </c>
      <c r="L55" s="14">
        <f t="shared" si="0"/>
        <v>5</v>
      </c>
      <c r="M55" s="14">
        <f t="shared" si="1"/>
        <v>25</v>
      </c>
      <c r="N55" s="14">
        <f t="shared" si="2"/>
        <v>100</v>
      </c>
      <c r="O55" s="54">
        <v>100</v>
      </c>
      <c r="P55" s="54">
        <v>100</v>
      </c>
      <c r="Q55" s="54">
        <v>100</v>
      </c>
      <c r="R55" s="54">
        <v>200</v>
      </c>
      <c r="S55" s="77" t="s">
        <v>38</v>
      </c>
      <c r="T55" s="80">
        <v>0.0022</v>
      </c>
      <c r="U55" s="73">
        <f t="shared" si="8"/>
        <v>0.22</v>
      </c>
      <c r="V55" s="80">
        <v>0.0022</v>
      </c>
      <c r="W55" s="73">
        <f t="shared" si="9"/>
        <v>0.22</v>
      </c>
      <c r="X55" s="80">
        <v>0.0022</v>
      </c>
      <c r="Y55" s="73">
        <f t="shared" si="10"/>
        <v>0.22</v>
      </c>
      <c r="Z55" s="80">
        <v>0.0022</v>
      </c>
      <c r="AA55" s="73">
        <f t="shared" si="11"/>
        <v>0.44</v>
      </c>
      <c r="AB55" s="95"/>
    </row>
    <row r="56" s="1" customFormat="1" spans="1:28">
      <c r="A56" s="6">
        <f t="shared" si="12"/>
        <v>54</v>
      </c>
      <c r="B56" s="12"/>
      <c r="C56" s="154" t="s">
        <v>336</v>
      </c>
      <c r="D56" s="157" t="s">
        <v>337</v>
      </c>
      <c r="E56" s="153" t="s">
        <v>187</v>
      </c>
      <c r="F56" s="153" t="s">
        <v>338</v>
      </c>
      <c r="G56" s="14" t="s">
        <v>60</v>
      </c>
      <c r="H56" s="152" t="s">
        <v>35</v>
      </c>
      <c r="I56" s="19" t="s">
        <v>339</v>
      </c>
      <c r="J56" s="153" t="s">
        <v>340</v>
      </c>
      <c r="K56" s="15">
        <v>1</v>
      </c>
      <c r="L56" s="14">
        <f t="shared" si="0"/>
        <v>5</v>
      </c>
      <c r="M56" s="14">
        <f t="shared" si="1"/>
        <v>25</v>
      </c>
      <c r="N56" s="14">
        <f t="shared" si="2"/>
        <v>100</v>
      </c>
      <c r="O56" s="54">
        <v>100</v>
      </c>
      <c r="P56" s="54">
        <v>100</v>
      </c>
      <c r="Q56" s="54">
        <v>100</v>
      </c>
      <c r="R56" s="54">
        <v>200</v>
      </c>
      <c r="S56" s="77" t="s">
        <v>38</v>
      </c>
      <c r="T56" s="80">
        <v>0.0015</v>
      </c>
      <c r="U56" s="73">
        <f t="shared" si="8"/>
        <v>0.15</v>
      </c>
      <c r="V56" s="80">
        <v>0.0015</v>
      </c>
      <c r="W56" s="73">
        <f t="shared" si="9"/>
        <v>0.15</v>
      </c>
      <c r="X56" s="80">
        <v>0.0015</v>
      </c>
      <c r="Y56" s="73">
        <f t="shared" si="10"/>
        <v>0.15</v>
      </c>
      <c r="Z56" s="80">
        <v>0.0015</v>
      </c>
      <c r="AA56" s="73">
        <f t="shared" si="11"/>
        <v>0.3</v>
      </c>
      <c r="AB56" s="95"/>
    </row>
    <row r="57" s="1" customFormat="1" spans="1:28">
      <c r="A57" s="6">
        <f t="shared" si="12"/>
        <v>55</v>
      </c>
      <c r="B57" s="12"/>
      <c r="C57" s="151" t="s">
        <v>341</v>
      </c>
      <c r="D57" s="152" t="s">
        <v>342</v>
      </c>
      <c r="E57" s="152" t="s">
        <v>187</v>
      </c>
      <c r="F57" s="152" t="s">
        <v>343</v>
      </c>
      <c r="G57" s="152" t="s">
        <v>60</v>
      </c>
      <c r="H57" s="152" t="s">
        <v>35</v>
      </c>
      <c r="I57" s="49" t="s">
        <v>344</v>
      </c>
      <c r="J57" s="152" t="s">
        <v>345</v>
      </c>
      <c r="K57" s="58">
        <v>1</v>
      </c>
      <c r="L57" s="14">
        <f t="shared" si="0"/>
        <v>5</v>
      </c>
      <c r="M57" s="14">
        <f t="shared" si="1"/>
        <v>25</v>
      </c>
      <c r="N57" s="14">
        <f t="shared" si="2"/>
        <v>100</v>
      </c>
      <c r="O57" s="54">
        <v>50</v>
      </c>
      <c r="P57" s="54">
        <v>50</v>
      </c>
      <c r="Q57" s="54">
        <v>50</v>
      </c>
      <c r="R57" s="54">
        <v>150</v>
      </c>
      <c r="S57" s="77" t="s">
        <v>38</v>
      </c>
      <c r="T57" s="80">
        <v>0.0089</v>
      </c>
      <c r="U57" s="73">
        <f t="shared" si="8"/>
        <v>0.445</v>
      </c>
      <c r="V57" s="80">
        <v>0.0089</v>
      </c>
      <c r="W57" s="73">
        <f t="shared" si="9"/>
        <v>0.445</v>
      </c>
      <c r="X57" s="80">
        <v>0.0089</v>
      </c>
      <c r="Y57" s="73">
        <f t="shared" si="10"/>
        <v>0.445</v>
      </c>
      <c r="Z57" s="80">
        <v>0.0089</v>
      </c>
      <c r="AA57" s="73">
        <f t="shared" si="11"/>
        <v>1.335</v>
      </c>
      <c r="AB57" s="95"/>
    </row>
    <row r="58" s="1" customFormat="1" spans="1:28">
      <c r="A58" s="6">
        <f t="shared" si="12"/>
        <v>56</v>
      </c>
      <c r="B58" s="12"/>
      <c r="C58" s="151" t="s">
        <v>346</v>
      </c>
      <c r="D58" s="152" t="s">
        <v>347</v>
      </c>
      <c r="E58" s="152" t="s">
        <v>348</v>
      </c>
      <c r="F58" s="152" t="s">
        <v>349</v>
      </c>
      <c r="G58" s="152" t="s">
        <v>60</v>
      </c>
      <c r="H58" s="152" t="s">
        <v>35</v>
      </c>
      <c r="I58" s="19" t="s">
        <v>350</v>
      </c>
      <c r="J58" s="152" t="s">
        <v>351</v>
      </c>
      <c r="K58" s="58">
        <v>1</v>
      </c>
      <c r="L58" s="14">
        <f t="shared" si="0"/>
        <v>5</v>
      </c>
      <c r="M58" s="14">
        <f t="shared" si="1"/>
        <v>25</v>
      </c>
      <c r="N58" s="14">
        <f t="shared" si="2"/>
        <v>100</v>
      </c>
      <c r="O58" s="54">
        <v>100</v>
      </c>
      <c r="P58" s="54">
        <v>100</v>
      </c>
      <c r="Q58" s="54">
        <v>100</v>
      </c>
      <c r="R58" s="54">
        <v>200</v>
      </c>
      <c r="S58" s="77" t="s">
        <v>38</v>
      </c>
      <c r="T58" s="80">
        <v>0.0011</v>
      </c>
      <c r="U58" s="73">
        <f t="shared" si="8"/>
        <v>0.11</v>
      </c>
      <c r="V58" s="80">
        <v>0.0011</v>
      </c>
      <c r="W58" s="73">
        <f t="shared" si="9"/>
        <v>0.11</v>
      </c>
      <c r="X58" s="80">
        <v>0.0011</v>
      </c>
      <c r="Y58" s="73">
        <f t="shared" si="10"/>
        <v>0.11</v>
      </c>
      <c r="Z58" s="80">
        <v>0.0011</v>
      </c>
      <c r="AA58" s="73">
        <f t="shared" si="11"/>
        <v>0.22</v>
      </c>
      <c r="AB58" s="95"/>
    </row>
    <row r="59" s="1" customFormat="1" spans="1:28">
      <c r="A59" s="6">
        <f t="shared" si="12"/>
        <v>57</v>
      </c>
      <c r="B59" s="12"/>
      <c r="C59" s="151" t="s">
        <v>352</v>
      </c>
      <c r="D59" s="152" t="s">
        <v>353</v>
      </c>
      <c r="E59" s="152" t="s">
        <v>187</v>
      </c>
      <c r="F59" s="152" t="s">
        <v>354</v>
      </c>
      <c r="G59" s="152" t="s">
        <v>60</v>
      </c>
      <c r="H59" s="152" t="s">
        <v>35</v>
      </c>
      <c r="I59" s="19" t="s">
        <v>355</v>
      </c>
      <c r="J59" s="152" t="s">
        <v>356</v>
      </c>
      <c r="K59" s="58">
        <v>1</v>
      </c>
      <c r="L59" s="14">
        <f t="shared" si="0"/>
        <v>5</v>
      </c>
      <c r="M59" s="14">
        <f t="shared" si="1"/>
        <v>25</v>
      </c>
      <c r="N59" s="14">
        <f t="shared" si="2"/>
        <v>100</v>
      </c>
      <c r="O59" s="54">
        <v>20</v>
      </c>
      <c r="P59" s="54">
        <v>20</v>
      </c>
      <c r="Q59" s="54">
        <v>40</v>
      </c>
      <c r="R59" s="54">
        <v>120</v>
      </c>
      <c r="S59" s="77" t="s">
        <v>38</v>
      </c>
      <c r="T59" s="80">
        <v>0.0323</v>
      </c>
      <c r="U59" s="73">
        <f t="shared" si="8"/>
        <v>0.646</v>
      </c>
      <c r="V59" s="80">
        <v>0.0323</v>
      </c>
      <c r="W59" s="73">
        <f t="shared" si="9"/>
        <v>0.646</v>
      </c>
      <c r="X59" s="80">
        <v>0.0323</v>
      </c>
      <c r="Y59" s="73">
        <f t="shared" si="10"/>
        <v>1.292</v>
      </c>
      <c r="Z59" s="80">
        <v>0.0323</v>
      </c>
      <c r="AA59" s="73">
        <f t="shared" si="11"/>
        <v>3.876</v>
      </c>
      <c r="AB59" s="95"/>
    </row>
    <row r="60" s="1" customFormat="1" spans="1:28">
      <c r="A60" s="6">
        <f t="shared" si="12"/>
        <v>58</v>
      </c>
      <c r="B60" s="12"/>
      <c r="C60" s="151" t="s">
        <v>357</v>
      </c>
      <c r="D60" s="152" t="s">
        <v>358</v>
      </c>
      <c r="E60" s="152" t="s">
        <v>187</v>
      </c>
      <c r="F60" s="152" t="s">
        <v>359</v>
      </c>
      <c r="G60" s="152" t="s">
        <v>60</v>
      </c>
      <c r="H60" s="152" t="s">
        <v>35</v>
      </c>
      <c r="I60" s="19" t="s">
        <v>360</v>
      </c>
      <c r="J60" s="152" t="s">
        <v>361</v>
      </c>
      <c r="K60" s="58">
        <v>2</v>
      </c>
      <c r="L60" s="14">
        <f t="shared" si="0"/>
        <v>10</v>
      </c>
      <c r="M60" s="14">
        <f t="shared" si="1"/>
        <v>50</v>
      </c>
      <c r="N60" s="14">
        <f t="shared" si="2"/>
        <v>200</v>
      </c>
      <c r="O60" s="54">
        <v>100</v>
      </c>
      <c r="P60" s="54">
        <v>100</v>
      </c>
      <c r="Q60" s="54">
        <v>100</v>
      </c>
      <c r="R60" s="54">
        <v>300</v>
      </c>
      <c r="S60" s="77" t="s">
        <v>38</v>
      </c>
      <c r="T60" s="80">
        <v>0.0015</v>
      </c>
      <c r="U60" s="73">
        <f t="shared" si="8"/>
        <v>0.15</v>
      </c>
      <c r="V60" s="80">
        <v>0.0015</v>
      </c>
      <c r="W60" s="73">
        <f t="shared" si="9"/>
        <v>0.15</v>
      </c>
      <c r="X60" s="80">
        <v>0.0015</v>
      </c>
      <c r="Y60" s="73">
        <f t="shared" si="10"/>
        <v>0.15</v>
      </c>
      <c r="Z60" s="80">
        <v>0.0015</v>
      </c>
      <c r="AA60" s="73">
        <f t="shared" si="11"/>
        <v>0.45</v>
      </c>
      <c r="AB60" s="95"/>
    </row>
    <row r="61" s="1" customFormat="1" spans="1:28">
      <c r="A61" s="6">
        <f t="shared" si="12"/>
        <v>59</v>
      </c>
      <c r="B61" s="12"/>
      <c r="C61" s="151" t="s">
        <v>362</v>
      </c>
      <c r="D61" s="152" t="s">
        <v>363</v>
      </c>
      <c r="E61" s="152" t="s">
        <v>187</v>
      </c>
      <c r="F61" s="152" t="s">
        <v>364</v>
      </c>
      <c r="G61" s="152" t="s">
        <v>365</v>
      </c>
      <c r="H61" s="152" t="s">
        <v>35</v>
      </c>
      <c r="I61" s="49" t="s">
        <v>366</v>
      </c>
      <c r="J61" s="152" t="s">
        <v>367</v>
      </c>
      <c r="K61" s="58">
        <v>1</v>
      </c>
      <c r="L61" s="14">
        <f t="shared" si="0"/>
        <v>5</v>
      </c>
      <c r="M61" s="14">
        <f t="shared" si="1"/>
        <v>25</v>
      </c>
      <c r="N61" s="14">
        <f t="shared" si="2"/>
        <v>100</v>
      </c>
      <c r="O61" s="54">
        <v>10</v>
      </c>
      <c r="P61" s="54">
        <v>10</v>
      </c>
      <c r="Q61" s="54">
        <v>30</v>
      </c>
      <c r="R61" s="54">
        <v>110</v>
      </c>
      <c r="S61" s="77" t="s">
        <v>38</v>
      </c>
      <c r="T61" s="75">
        <v>0.0658</v>
      </c>
      <c r="U61" s="73">
        <f t="shared" si="8"/>
        <v>0.658</v>
      </c>
      <c r="V61" s="75">
        <v>0.0658</v>
      </c>
      <c r="W61" s="73">
        <f t="shared" si="9"/>
        <v>0.658</v>
      </c>
      <c r="X61" s="75">
        <v>0.0658</v>
      </c>
      <c r="Y61" s="73">
        <f t="shared" si="10"/>
        <v>1.974</v>
      </c>
      <c r="Z61" s="75">
        <v>0.0559</v>
      </c>
      <c r="AA61" s="73">
        <f t="shared" si="11"/>
        <v>6.149</v>
      </c>
      <c r="AB61" s="95"/>
    </row>
    <row r="62" s="1" customFormat="1" spans="1:28">
      <c r="A62" s="6">
        <f t="shared" si="12"/>
        <v>60</v>
      </c>
      <c r="B62" s="12"/>
      <c r="C62" s="151" t="s">
        <v>368</v>
      </c>
      <c r="D62" s="152" t="s">
        <v>369</v>
      </c>
      <c r="E62" s="152" t="s">
        <v>348</v>
      </c>
      <c r="F62" s="152" t="s">
        <v>370</v>
      </c>
      <c r="G62" s="152" t="s">
        <v>60</v>
      </c>
      <c r="H62" s="152" t="s">
        <v>35</v>
      </c>
      <c r="I62" s="19" t="s">
        <v>371</v>
      </c>
      <c r="J62" s="152" t="s">
        <v>372</v>
      </c>
      <c r="K62" s="58">
        <v>1</v>
      </c>
      <c r="L62" s="14">
        <f t="shared" si="0"/>
        <v>5</v>
      </c>
      <c r="M62" s="14">
        <f t="shared" si="1"/>
        <v>25</v>
      </c>
      <c r="N62" s="14">
        <f t="shared" si="2"/>
        <v>100</v>
      </c>
      <c r="O62" s="54">
        <v>100</v>
      </c>
      <c r="P62" s="54">
        <v>100</v>
      </c>
      <c r="Q62" s="54">
        <v>100</v>
      </c>
      <c r="R62" s="54">
        <v>200</v>
      </c>
      <c r="S62" s="77" t="s">
        <v>38</v>
      </c>
      <c r="T62" s="80">
        <v>0.0011</v>
      </c>
      <c r="U62" s="73">
        <f t="shared" si="8"/>
        <v>0.11</v>
      </c>
      <c r="V62" s="80">
        <v>0.0011</v>
      </c>
      <c r="W62" s="73">
        <f t="shared" si="9"/>
        <v>0.11</v>
      </c>
      <c r="X62" s="80">
        <v>0.0011</v>
      </c>
      <c r="Y62" s="73">
        <f t="shared" si="10"/>
        <v>0.11</v>
      </c>
      <c r="Z62" s="80">
        <v>0.0011</v>
      </c>
      <c r="AA62" s="73">
        <f t="shared" si="11"/>
        <v>0.22</v>
      </c>
      <c r="AB62" s="95"/>
    </row>
    <row r="63" s="1" customFormat="1" spans="1:28">
      <c r="A63" s="6">
        <f t="shared" si="12"/>
        <v>61</v>
      </c>
      <c r="B63" s="12"/>
      <c r="C63" s="151" t="s">
        <v>373</v>
      </c>
      <c r="D63" s="152" t="s">
        <v>374</v>
      </c>
      <c r="E63" s="152" t="s">
        <v>187</v>
      </c>
      <c r="F63" s="152" t="s">
        <v>375</v>
      </c>
      <c r="G63" s="152" t="s">
        <v>365</v>
      </c>
      <c r="H63" s="152" t="s">
        <v>35</v>
      </c>
      <c r="I63" s="19" t="s">
        <v>376</v>
      </c>
      <c r="J63" s="152" t="s">
        <v>377</v>
      </c>
      <c r="K63" s="58">
        <v>1</v>
      </c>
      <c r="L63" s="14">
        <f t="shared" si="0"/>
        <v>5</v>
      </c>
      <c r="M63" s="14">
        <f t="shared" si="1"/>
        <v>25</v>
      </c>
      <c r="N63" s="14">
        <f t="shared" si="2"/>
        <v>100</v>
      </c>
      <c r="O63" s="54">
        <v>50</v>
      </c>
      <c r="P63" s="54">
        <v>50</v>
      </c>
      <c r="Q63" s="54">
        <v>50</v>
      </c>
      <c r="R63" s="54">
        <v>150</v>
      </c>
      <c r="S63" s="77" t="s">
        <v>38</v>
      </c>
      <c r="T63" s="80">
        <v>0.0108</v>
      </c>
      <c r="U63" s="73">
        <f t="shared" si="8"/>
        <v>0.54</v>
      </c>
      <c r="V63" s="80">
        <v>0.0108</v>
      </c>
      <c r="W63" s="73">
        <f t="shared" si="9"/>
        <v>0.54</v>
      </c>
      <c r="X63" s="80">
        <v>0.0108</v>
      </c>
      <c r="Y63" s="73">
        <f t="shared" si="10"/>
        <v>0.54</v>
      </c>
      <c r="Z63" s="80">
        <v>0.0108</v>
      </c>
      <c r="AA63" s="73">
        <f t="shared" si="11"/>
        <v>1.62</v>
      </c>
      <c r="AB63" s="95"/>
    </row>
    <row r="64" s="1" customFormat="1" spans="1:28">
      <c r="A64" s="6">
        <f t="shared" si="12"/>
        <v>62</v>
      </c>
      <c r="B64" s="12"/>
      <c r="C64" s="151" t="s">
        <v>378</v>
      </c>
      <c r="D64" s="152" t="s">
        <v>379</v>
      </c>
      <c r="E64" s="152" t="s">
        <v>187</v>
      </c>
      <c r="F64" s="152" t="s">
        <v>380</v>
      </c>
      <c r="G64" s="152" t="s">
        <v>381</v>
      </c>
      <c r="H64" s="152" t="s">
        <v>35</v>
      </c>
      <c r="I64" s="19" t="s">
        <v>382</v>
      </c>
      <c r="J64" s="152" t="s">
        <v>383</v>
      </c>
      <c r="K64" s="58">
        <v>1</v>
      </c>
      <c r="L64" s="14">
        <f t="shared" si="0"/>
        <v>5</v>
      </c>
      <c r="M64" s="14">
        <f t="shared" si="1"/>
        <v>25</v>
      </c>
      <c r="N64" s="14">
        <f t="shared" si="2"/>
        <v>100</v>
      </c>
      <c r="O64" s="54">
        <v>100</v>
      </c>
      <c r="P64" s="54">
        <v>100</v>
      </c>
      <c r="Q64" s="54">
        <v>100</v>
      </c>
      <c r="R64" s="54">
        <v>200</v>
      </c>
      <c r="S64" s="77" t="s">
        <v>38</v>
      </c>
      <c r="T64" s="80">
        <v>0.0014</v>
      </c>
      <c r="U64" s="73">
        <f t="shared" si="8"/>
        <v>0.14</v>
      </c>
      <c r="V64" s="80">
        <v>0.0014</v>
      </c>
      <c r="W64" s="73">
        <f t="shared" si="9"/>
        <v>0.14</v>
      </c>
      <c r="X64" s="80">
        <v>0.0014</v>
      </c>
      <c r="Y64" s="73">
        <f t="shared" si="10"/>
        <v>0.14</v>
      </c>
      <c r="Z64" s="80">
        <v>0.0014</v>
      </c>
      <c r="AA64" s="73">
        <f t="shared" si="11"/>
        <v>0.28</v>
      </c>
      <c r="AB64" s="95"/>
    </row>
    <row r="65" s="1" customFormat="1" spans="1:28">
      <c r="A65" s="6">
        <f t="shared" si="12"/>
        <v>63</v>
      </c>
      <c r="B65" s="12"/>
      <c r="C65" s="151" t="s">
        <v>384</v>
      </c>
      <c r="D65" s="152" t="s">
        <v>385</v>
      </c>
      <c r="E65" s="152" t="s">
        <v>187</v>
      </c>
      <c r="F65" s="152" t="s">
        <v>386</v>
      </c>
      <c r="G65" s="152" t="s">
        <v>387</v>
      </c>
      <c r="H65" s="152" t="s">
        <v>35</v>
      </c>
      <c r="I65" s="49" t="s">
        <v>388</v>
      </c>
      <c r="J65" s="152" t="s">
        <v>389</v>
      </c>
      <c r="K65" s="58">
        <v>1</v>
      </c>
      <c r="L65" s="14">
        <f t="shared" si="0"/>
        <v>5</v>
      </c>
      <c r="M65" s="14">
        <f t="shared" si="1"/>
        <v>25</v>
      </c>
      <c r="N65" s="14">
        <f t="shared" si="2"/>
        <v>100</v>
      </c>
      <c r="O65" s="54">
        <v>50</v>
      </c>
      <c r="P65" s="54">
        <v>50</v>
      </c>
      <c r="Q65" s="54">
        <v>50</v>
      </c>
      <c r="R65" s="54">
        <v>150</v>
      </c>
      <c r="S65" s="77" t="s">
        <v>38</v>
      </c>
      <c r="T65" s="80">
        <v>0.0049</v>
      </c>
      <c r="U65" s="73">
        <f t="shared" si="8"/>
        <v>0.245</v>
      </c>
      <c r="V65" s="80">
        <v>0.0049</v>
      </c>
      <c r="W65" s="73">
        <f t="shared" si="9"/>
        <v>0.245</v>
      </c>
      <c r="X65" s="80">
        <v>0.0049</v>
      </c>
      <c r="Y65" s="73">
        <f t="shared" si="10"/>
        <v>0.245</v>
      </c>
      <c r="Z65" s="80">
        <v>0.0049</v>
      </c>
      <c r="AA65" s="73">
        <f t="shared" si="11"/>
        <v>0.735</v>
      </c>
      <c r="AB65" s="95"/>
    </row>
    <row r="66" s="1" customFormat="1" ht="13.5" spans="1:28">
      <c r="A66" s="6">
        <f t="shared" si="12"/>
        <v>64</v>
      </c>
      <c r="B66" s="27"/>
      <c r="C66" s="165" t="s">
        <v>390</v>
      </c>
      <c r="D66" s="163" t="s">
        <v>391</v>
      </c>
      <c r="E66" s="163" t="s">
        <v>187</v>
      </c>
      <c r="F66" s="163" t="s">
        <v>392</v>
      </c>
      <c r="G66" s="163" t="s">
        <v>60</v>
      </c>
      <c r="H66" s="163" t="s">
        <v>35</v>
      </c>
      <c r="I66" s="43" t="s">
        <v>393</v>
      </c>
      <c r="J66" s="163" t="s">
        <v>351</v>
      </c>
      <c r="K66" s="61">
        <v>4</v>
      </c>
      <c r="L66" s="31">
        <f t="shared" si="0"/>
        <v>20</v>
      </c>
      <c r="M66" s="31">
        <f t="shared" si="1"/>
        <v>100</v>
      </c>
      <c r="N66" s="31">
        <f t="shared" si="2"/>
        <v>400</v>
      </c>
      <c r="O66" s="59">
        <v>100</v>
      </c>
      <c r="P66" s="59">
        <v>100</v>
      </c>
      <c r="Q66" s="59">
        <v>100</v>
      </c>
      <c r="R66" s="59">
        <v>500</v>
      </c>
      <c r="S66" s="81" t="s">
        <v>38</v>
      </c>
      <c r="T66" s="82">
        <v>0.0013</v>
      </c>
      <c r="U66" s="83">
        <f t="shared" si="8"/>
        <v>0.13</v>
      </c>
      <c r="V66" s="82">
        <v>0.0013</v>
      </c>
      <c r="W66" s="83">
        <f t="shared" si="9"/>
        <v>0.13</v>
      </c>
      <c r="X66" s="82">
        <v>0.0013</v>
      </c>
      <c r="Y66" s="83">
        <f t="shared" si="10"/>
        <v>0.13</v>
      </c>
      <c r="Z66" s="82">
        <v>0.0013</v>
      </c>
      <c r="AA66" s="83">
        <f t="shared" si="11"/>
        <v>0.65</v>
      </c>
      <c r="AB66" s="100"/>
    </row>
    <row r="67" s="1" customFormat="1" ht="13.5" spans="1:28">
      <c r="A67" s="6">
        <f t="shared" si="12"/>
        <v>65</v>
      </c>
      <c r="B67" s="44" t="s">
        <v>394</v>
      </c>
      <c r="C67" s="173" t="s">
        <v>395</v>
      </c>
      <c r="D67" s="174" t="s">
        <v>396</v>
      </c>
      <c r="E67" s="175" t="s">
        <v>32</v>
      </c>
      <c r="F67" s="175" t="s">
        <v>397</v>
      </c>
      <c r="G67" s="176" t="s">
        <v>398</v>
      </c>
      <c r="H67" s="176" t="s">
        <v>35</v>
      </c>
      <c r="I67" s="176" t="s">
        <v>35</v>
      </c>
      <c r="J67" s="175" t="s">
        <v>399</v>
      </c>
      <c r="K67" s="47">
        <v>1</v>
      </c>
      <c r="L67" s="48">
        <f t="shared" ref="L67:L86" si="13">K67*5</f>
        <v>5</v>
      </c>
      <c r="M67" s="48">
        <f t="shared" ref="M67:M86" si="14">K67*25</f>
        <v>25</v>
      </c>
      <c r="N67" s="48">
        <f t="shared" ref="N67:N86" si="15">K67*100</f>
        <v>100</v>
      </c>
      <c r="O67" s="65">
        <v>50</v>
      </c>
      <c r="P67" s="65">
        <v>50</v>
      </c>
      <c r="Q67" s="65">
        <v>50</v>
      </c>
      <c r="R67" s="65">
        <v>150</v>
      </c>
      <c r="S67" s="91" t="s">
        <v>261</v>
      </c>
      <c r="T67" s="92">
        <v>1.71</v>
      </c>
      <c r="U67" s="92">
        <f t="shared" si="8"/>
        <v>85.5</v>
      </c>
      <c r="V67" s="92">
        <v>1.71</v>
      </c>
      <c r="W67" s="92">
        <f t="shared" si="9"/>
        <v>85.5</v>
      </c>
      <c r="X67" s="92">
        <v>1.71</v>
      </c>
      <c r="Y67" s="92">
        <f t="shared" si="10"/>
        <v>85.5</v>
      </c>
      <c r="Z67" s="92">
        <v>1.71</v>
      </c>
      <c r="AA67" s="92">
        <f t="shared" si="11"/>
        <v>256.5</v>
      </c>
      <c r="AB67" s="142"/>
    </row>
    <row r="68" s="1" customFormat="1" ht="13.5" spans="1:28">
      <c r="A68" s="6">
        <f t="shared" si="12"/>
        <v>66</v>
      </c>
      <c r="B68" s="44" t="s">
        <v>400</v>
      </c>
      <c r="C68" s="179" t="s">
        <v>401</v>
      </c>
      <c r="D68" s="180" t="s">
        <v>402</v>
      </c>
      <c r="E68" s="181" t="s">
        <v>32</v>
      </c>
      <c r="F68" s="180" t="s">
        <v>403</v>
      </c>
      <c r="G68" s="180" t="s">
        <v>404</v>
      </c>
      <c r="H68" s="180" t="s">
        <v>35</v>
      </c>
      <c r="I68" s="180" t="s">
        <v>35</v>
      </c>
      <c r="J68" s="181" t="s">
        <v>196</v>
      </c>
      <c r="K68" s="124">
        <v>1</v>
      </c>
      <c r="L68" s="106">
        <f t="shared" si="13"/>
        <v>5</v>
      </c>
      <c r="M68" s="106">
        <f t="shared" si="14"/>
        <v>25</v>
      </c>
      <c r="N68" s="106">
        <f t="shared" si="15"/>
        <v>100</v>
      </c>
      <c r="O68" s="125"/>
      <c r="P68" s="125"/>
      <c r="Q68" s="125"/>
      <c r="R68" s="125"/>
      <c r="S68" s="106"/>
      <c r="T68" s="133"/>
      <c r="U68" s="133">
        <f t="shared" ref="U68:U84" si="16">T68*O68</f>
        <v>0</v>
      </c>
      <c r="V68" s="133"/>
      <c r="W68" s="133">
        <f t="shared" ref="W68:W84" si="17">V68*P68</f>
        <v>0</v>
      </c>
      <c r="X68" s="133"/>
      <c r="Y68" s="133">
        <f t="shared" ref="Y68:Y84" si="18">X68*Q68</f>
        <v>0</v>
      </c>
      <c r="Z68" s="133"/>
      <c r="AA68" s="133">
        <f t="shared" ref="AA68:AA84" si="19">Z68*R68</f>
        <v>0</v>
      </c>
      <c r="AB68" s="143" t="s">
        <v>227</v>
      </c>
    </row>
    <row r="69" s="1" customFormat="1" spans="1:28">
      <c r="A69" s="6">
        <f t="shared" ref="A69:A86" si="20">A68+1</f>
        <v>67</v>
      </c>
      <c r="B69" s="108" t="s">
        <v>405</v>
      </c>
      <c r="C69" s="164" t="s">
        <v>406</v>
      </c>
      <c r="D69" s="150" t="s">
        <v>407</v>
      </c>
      <c r="E69" s="60" t="s">
        <v>408</v>
      </c>
      <c r="F69" s="150" t="s">
        <v>409</v>
      </c>
      <c r="G69" s="150" t="s">
        <v>410</v>
      </c>
      <c r="H69" s="150" t="s">
        <v>35</v>
      </c>
      <c r="I69" s="150" t="s">
        <v>35</v>
      </c>
      <c r="J69" s="149" t="s">
        <v>196</v>
      </c>
      <c r="K69" s="60">
        <v>1</v>
      </c>
      <c r="L69" s="11">
        <f t="shared" si="13"/>
        <v>5</v>
      </c>
      <c r="M69" s="11">
        <f t="shared" si="14"/>
        <v>25</v>
      </c>
      <c r="N69" s="11">
        <f t="shared" si="15"/>
        <v>100</v>
      </c>
      <c r="O69" s="51">
        <v>14</v>
      </c>
      <c r="P69" s="51">
        <v>14</v>
      </c>
      <c r="Q69" s="51">
        <v>28</v>
      </c>
      <c r="R69" s="51">
        <v>105</v>
      </c>
      <c r="S69" s="84" t="s">
        <v>411</v>
      </c>
      <c r="T69" s="85">
        <v>3.708</v>
      </c>
      <c r="U69" s="70">
        <f t="shared" si="16"/>
        <v>51.912</v>
      </c>
      <c r="V69" s="85">
        <v>3.708</v>
      </c>
      <c r="W69" s="70">
        <f t="shared" si="17"/>
        <v>51.912</v>
      </c>
      <c r="X69" s="85">
        <v>3.708</v>
      </c>
      <c r="Y69" s="70">
        <f t="shared" si="18"/>
        <v>103.824</v>
      </c>
      <c r="Z69" s="85">
        <v>2.821</v>
      </c>
      <c r="AA69" s="70">
        <f t="shared" si="19"/>
        <v>296.205</v>
      </c>
      <c r="AB69" s="104"/>
    </row>
    <row r="70" s="1" customFormat="1" spans="1:28">
      <c r="A70" s="6">
        <f t="shared" si="20"/>
        <v>68</v>
      </c>
      <c r="B70" s="109"/>
      <c r="C70" s="151" t="s">
        <v>412</v>
      </c>
      <c r="D70" s="152" t="s">
        <v>413</v>
      </c>
      <c r="E70" s="152" t="s">
        <v>414</v>
      </c>
      <c r="F70" s="152" t="s">
        <v>415</v>
      </c>
      <c r="G70" s="152" t="s">
        <v>410</v>
      </c>
      <c r="H70" s="152" t="s">
        <v>35</v>
      </c>
      <c r="I70" s="152" t="s">
        <v>35</v>
      </c>
      <c r="J70" s="153" t="s">
        <v>196</v>
      </c>
      <c r="K70" s="58">
        <v>1</v>
      </c>
      <c r="L70" s="14">
        <f t="shared" si="13"/>
        <v>5</v>
      </c>
      <c r="M70" s="14">
        <f t="shared" si="14"/>
        <v>25</v>
      </c>
      <c r="N70" s="14">
        <f t="shared" si="15"/>
        <v>100</v>
      </c>
      <c r="O70" s="54">
        <v>3</v>
      </c>
      <c r="P70" s="54">
        <v>7</v>
      </c>
      <c r="Q70" s="54">
        <v>28</v>
      </c>
      <c r="R70" s="54">
        <v>105</v>
      </c>
      <c r="S70" s="77" t="s">
        <v>261</v>
      </c>
      <c r="T70" s="80">
        <v>2.03</v>
      </c>
      <c r="U70" s="73">
        <f t="shared" si="16"/>
        <v>6.09</v>
      </c>
      <c r="V70" s="80">
        <v>2.03</v>
      </c>
      <c r="W70" s="73">
        <f t="shared" si="17"/>
        <v>14.21</v>
      </c>
      <c r="X70" s="80">
        <v>2.03</v>
      </c>
      <c r="Y70" s="73">
        <f t="shared" si="18"/>
        <v>56.84</v>
      </c>
      <c r="Z70" s="80">
        <v>2.03</v>
      </c>
      <c r="AA70" s="73">
        <f t="shared" si="19"/>
        <v>213.15</v>
      </c>
      <c r="AB70" s="95"/>
    </row>
    <row r="71" s="1" customFormat="1" spans="1:28">
      <c r="A71" s="6">
        <f t="shared" si="20"/>
        <v>69</v>
      </c>
      <c r="B71" s="109"/>
      <c r="C71" s="154" t="s">
        <v>416</v>
      </c>
      <c r="D71" s="20" t="s">
        <v>417</v>
      </c>
      <c r="E71" s="153" t="s">
        <v>418</v>
      </c>
      <c r="F71" s="153" t="s">
        <v>419</v>
      </c>
      <c r="G71" s="14" t="s">
        <v>420</v>
      </c>
      <c r="H71" s="152" t="s">
        <v>35</v>
      </c>
      <c r="I71" s="152" t="s">
        <v>35</v>
      </c>
      <c r="J71" s="153" t="s">
        <v>399</v>
      </c>
      <c r="K71" s="15">
        <v>1</v>
      </c>
      <c r="L71" s="14">
        <f t="shared" si="13"/>
        <v>5</v>
      </c>
      <c r="M71" s="14">
        <f t="shared" si="14"/>
        <v>25</v>
      </c>
      <c r="N71" s="14">
        <f t="shared" si="15"/>
        <v>100</v>
      </c>
      <c r="O71" s="54">
        <v>3</v>
      </c>
      <c r="P71" s="54">
        <v>7</v>
      </c>
      <c r="Q71" s="54">
        <v>28</v>
      </c>
      <c r="R71" s="54">
        <v>105</v>
      </c>
      <c r="S71" s="77" t="s">
        <v>261</v>
      </c>
      <c r="T71" s="80">
        <v>4.04</v>
      </c>
      <c r="U71" s="73">
        <f t="shared" si="16"/>
        <v>12.12</v>
      </c>
      <c r="V71" s="80">
        <v>4.04</v>
      </c>
      <c r="W71" s="73">
        <f t="shared" si="17"/>
        <v>28.28</v>
      </c>
      <c r="X71" s="80">
        <v>4.04</v>
      </c>
      <c r="Y71" s="73">
        <f t="shared" si="18"/>
        <v>113.12</v>
      </c>
      <c r="Z71" s="80">
        <v>4.04</v>
      </c>
      <c r="AA71" s="73">
        <f t="shared" si="19"/>
        <v>424.2</v>
      </c>
      <c r="AB71" s="95"/>
    </row>
    <row r="72" s="1" customFormat="1" spans="1:28">
      <c r="A72" s="6">
        <f t="shared" si="20"/>
        <v>70</v>
      </c>
      <c r="B72" s="109"/>
      <c r="C72" s="151" t="s">
        <v>421</v>
      </c>
      <c r="D72" s="152" t="s">
        <v>422</v>
      </c>
      <c r="E72" s="110" t="s">
        <v>423</v>
      </c>
      <c r="F72" s="152" t="s">
        <v>424</v>
      </c>
      <c r="G72" s="152" t="s">
        <v>410</v>
      </c>
      <c r="H72" s="152" t="s">
        <v>35</v>
      </c>
      <c r="I72" s="152" t="s">
        <v>35</v>
      </c>
      <c r="J72" s="153" t="s">
        <v>196</v>
      </c>
      <c r="K72" s="58">
        <v>1</v>
      </c>
      <c r="L72" s="14">
        <f t="shared" si="13"/>
        <v>5</v>
      </c>
      <c r="M72" s="14">
        <f t="shared" si="14"/>
        <v>25</v>
      </c>
      <c r="N72" s="14">
        <f t="shared" si="15"/>
        <v>100</v>
      </c>
      <c r="O72" s="54">
        <v>5</v>
      </c>
      <c r="P72" s="54">
        <v>10</v>
      </c>
      <c r="Q72" s="54">
        <v>30</v>
      </c>
      <c r="R72" s="54">
        <v>105</v>
      </c>
      <c r="S72" s="88" t="s">
        <v>261</v>
      </c>
      <c r="T72" s="73">
        <v>1.246</v>
      </c>
      <c r="U72" s="73">
        <f t="shared" si="16"/>
        <v>6.23</v>
      </c>
      <c r="V72" s="73">
        <v>1.246</v>
      </c>
      <c r="W72" s="73">
        <f t="shared" si="17"/>
        <v>12.46</v>
      </c>
      <c r="X72" s="73">
        <v>1.246</v>
      </c>
      <c r="Y72" s="73">
        <f t="shared" si="18"/>
        <v>37.38</v>
      </c>
      <c r="Z72" s="73">
        <v>1.246</v>
      </c>
      <c r="AA72" s="73">
        <f t="shared" si="19"/>
        <v>130.83</v>
      </c>
      <c r="AB72" s="95"/>
    </row>
    <row r="73" s="1" customFormat="1" spans="1:28">
      <c r="A73" s="6">
        <f t="shared" si="20"/>
        <v>71</v>
      </c>
      <c r="B73" s="109"/>
      <c r="C73" s="151" t="s">
        <v>425</v>
      </c>
      <c r="D73" s="152" t="s">
        <v>426</v>
      </c>
      <c r="E73" s="152" t="s">
        <v>427</v>
      </c>
      <c r="F73" s="152" t="s">
        <v>428</v>
      </c>
      <c r="G73" s="152" t="s">
        <v>410</v>
      </c>
      <c r="H73" s="152" t="s">
        <v>35</v>
      </c>
      <c r="I73" s="19" t="s">
        <v>429</v>
      </c>
      <c r="J73" s="153" t="s">
        <v>196</v>
      </c>
      <c r="K73" s="58">
        <v>1</v>
      </c>
      <c r="L73" s="14">
        <f t="shared" si="13"/>
        <v>5</v>
      </c>
      <c r="M73" s="14">
        <f t="shared" si="14"/>
        <v>25</v>
      </c>
      <c r="N73" s="14">
        <f t="shared" si="15"/>
        <v>100</v>
      </c>
      <c r="O73" s="54">
        <v>3</v>
      </c>
      <c r="P73" s="54">
        <v>7</v>
      </c>
      <c r="Q73" s="54">
        <v>28</v>
      </c>
      <c r="R73" s="54">
        <v>105</v>
      </c>
      <c r="S73" s="77" t="s">
        <v>38</v>
      </c>
      <c r="T73" s="80">
        <v>0.541</v>
      </c>
      <c r="U73" s="73">
        <f t="shared" si="16"/>
        <v>1.623</v>
      </c>
      <c r="V73" s="80">
        <v>0.541</v>
      </c>
      <c r="W73" s="73">
        <f t="shared" si="17"/>
        <v>3.787</v>
      </c>
      <c r="X73" s="80">
        <v>0.44</v>
      </c>
      <c r="Y73" s="73">
        <f t="shared" si="18"/>
        <v>12.32</v>
      </c>
      <c r="Z73" s="80">
        <v>0.3048</v>
      </c>
      <c r="AA73" s="73">
        <f t="shared" si="19"/>
        <v>32.004</v>
      </c>
      <c r="AB73" s="95"/>
    </row>
    <row r="74" s="1" customFormat="1" spans="1:28">
      <c r="A74" s="6">
        <f t="shared" si="20"/>
        <v>72</v>
      </c>
      <c r="B74" s="109"/>
      <c r="C74" s="154" t="s">
        <v>430</v>
      </c>
      <c r="D74" s="157" t="s">
        <v>431</v>
      </c>
      <c r="E74" s="153" t="s">
        <v>432</v>
      </c>
      <c r="F74" s="153" t="s">
        <v>433</v>
      </c>
      <c r="G74" s="14"/>
      <c r="H74" s="152" t="s">
        <v>35</v>
      </c>
      <c r="I74" s="152" t="s">
        <v>35</v>
      </c>
      <c r="J74" s="153" t="s">
        <v>399</v>
      </c>
      <c r="K74" s="15">
        <v>1</v>
      </c>
      <c r="L74" s="14">
        <f t="shared" si="13"/>
        <v>5</v>
      </c>
      <c r="M74" s="14">
        <f t="shared" si="14"/>
        <v>25</v>
      </c>
      <c r="N74" s="14">
        <f t="shared" si="15"/>
        <v>100</v>
      </c>
      <c r="O74" s="54">
        <v>3</v>
      </c>
      <c r="P74" s="54">
        <v>7</v>
      </c>
      <c r="Q74" s="54">
        <v>28</v>
      </c>
      <c r="R74" s="54">
        <v>105</v>
      </c>
      <c r="S74" s="77" t="s">
        <v>261</v>
      </c>
      <c r="T74" s="73">
        <v>8</v>
      </c>
      <c r="U74" s="73">
        <f t="shared" si="16"/>
        <v>24</v>
      </c>
      <c r="V74" s="73">
        <v>8</v>
      </c>
      <c r="W74" s="73">
        <f t="shared" si="17"/>
        <v>56</v>
      </c>
      <c r="X74" s="73">
        <v>8</v>
      </c>
      <c r="Y74" s="73">
        <f t="shared" si="18"/>
        <v>224</v>
      </c>
      <c r="Z74" s="73">
        <v>8</v>
      </c>
      <c r="AA74" s="73">
        <f t="shared" si="19"/>
        <v>840</v>
      </c>
      <c r="AB74" s="95"/>
    </row>
    <row r="75" s="1" customFormat="1" spans="1:28">
      <c r="A75" s="6">
        <f t="shared" si="20"/>
        <v>73</v>
      </c>
      <c r="B75" s="109"/>
      <c r="C75" s="154" t="s">
        <v>434</v>
      </c>
      <c r="D75" s="157" t="s">
        <v>435</v>
      </c>
      <c r="E75" s="153" t="s">
        <v>436</v>
      </c>
      <c r="F75" s="153" t="s">
        <v>437</v>
      </c>
      <c r="G75" s="14" t="s">
        <v>438</v>
      </c>
      <c r="H75" s="152" t="s">
        <v>35</v>
      </c>
      <c r="I75" s="152" t="s">
        <v>35</v>
      </c>
      <c r="J75" s="153" t="s">
        <v>399</v>
      </c>
      <c r="K75" s="15">
        <v>1</v>
      </c>
      <c r="L75" s="14">
        <f t="shared" si="13"/>
        <v>5</v>
      </c>
      <c r="M75" s="14">
        <f t="shared" si="14"/>
        <v>25</v>
      </c>
      <c r="N75" s="14">
        <f t="shared" si="15"/>
        <v>100</v>
      </c>
      <c r="O75" s="54">
        <v>10</v>
      </c>
      <c r="P75" s="54">
        <v>10</v>
      </c>
      <c r="Q75" s="54">
        <v>30</v>
      </c>
      <c r="R75" s="54">
        <v>110</v>
      </c>
      <c r="S75" s="77" t="s">
        <v>261</v>
      </c>
      <c r="T75" s="73">
        <v>0.862</v>
      </c>
      <c r="U75" s="73">
        <f t="shared" si="16"/>
        <v>8.62</v>
      </c>
      <c r="V75" s="73">
        <v>0.862</v>
      </c>
      <c r="W75" s="73">
        <f t="shared" si="17"/>
        <v>8.62</v>
      </c>
      <c r="X75" s="73">
        <v>0.862</v>
      </c>
      <c r="Y75" s="73">
        <f t="shared" si="18"/>
        <v>25.86</v>
      </c>
      <c r="Z75" s="73">
        <v>0.862</v>
      </c>
      <c r="AA75" s="73">
        <f t="shared" si="19"/>
        <v>94.82</v>
      </c>
      <c r="AB75" s="95"/>
    </row>
    <row r="76" s="1" customFormat="1" spans="1:28">
      <c r="A76" s="6">
        <f t="shared" si="20"/>
        <v>74</v>
      </c>
      <c r="B76" s="109"/>
      <c r="C76" s="151" t="s">
        <v>439</v>
      </c>
      <c r="D76" s="152" t="s">
        <v>440</v>
      </c>
      <c r="E76" s="110" t="s">
        <v>441</v>
      </c>
      <c r="F76" s="152" t="s">
        <v>442</v>
      </c>
      <c r="G76" s="152" t="s">
        <v>410</v>
      </c>
      <c r="H76" s="152" t="s">
        <v>35</v>
      </c>
      <c r="I76" s="152" t="s">
        <v>35</v>
      </c>
      <c r="J76" s="153" t="s">
        <v>196</v>
      </c>
      <c r="K76" s="58">
        <v>1</v>
      </c>
      <c r="L76" s="14">
        <f t="shared" si="13"/>
        <v>5</v>
      </c>
      <c r="M76" s="14">
        <f t="shared" si="14"/>
        <v>25</v>
      </c>
      <c r="N76" s="14">
        <f t="shared" si="15"/>
        <v>100</v>
      </c>
      <c r="O76" s="54">
        <v>10</v>
      </c>
      <c r="P76" s="54">
        <v>10</v>
      </c>
      <c r="Q76" s="54">
        <v>30</v>
      </c>
      <c r="R76" s="54">
        <v>110</v>
      </c>
      <c r="S76" s="88" t="s">
        <v>261</v>
      </c>
      <c r="T76" s="73">
        <v>5.628</v>
      </c>
      <c r="U76" s="73">
        <f t="shared" si="16"/>
        <v>56.28</v>
      </c>
      <c r="V76" s="73">
        <v>5.628</v>
      </c>
      <c r="W76" s="73">
        <f t="shared" si="17"/>
        <v>56.28</v>
      </c>
      <c r="X76" s="73">
        <v>5.628</v>
      </c>
      <c r="Y76" s="73">
        <f t="shared" si="18"/>
        <v>168.84</v>
      </c>
      <c r="Z76" s="73">
        <v>5.628</v>
      </c>
      <c r="AA76" s="73">
        <f t="shared" si="19"/>
        <v>619.08</v>
      </c>
      <c r="AB76" s="95"/>
    </row>
    <row r="77" s="1" customFormat="1" spans="1:28">
      <c r="A77" s="6">
        <f t="shared" si="20"/>
        <v>75</v>
      </c>
      <c r="B77" s="109"/>
      <c r="C77" s="151" t="s">
        <v>443</v>
      </c>
      <c r="D77" s="152" t="s">
        <v>444</v>
      </c>
      <c r="E77" s="110" t="s">
        <v>445</v>
      </c>
      <c r="F77" s="152" t="s">
        <v>446</v>
      </c>
      <c r="G77" s="152" t="s">
        <v>447</v>
      </c>
      <c r="H77" s="152" t="s">
        <v>35</v>
      </c>
      <c r="I77" s="152" t="s">
        <v>35</v>
      </c>
      <c r="J77" s="153" t="s">
        <v>196</v>
      </c>
      <c r="K77" s="58">
        <v>1</v>
      </c>
      <c r="L77" s="14">
        <f t="shared" si="13"/>
        <v>5</v>
      </c>
      <c r="M77" s="14">
        <f t="shared" si="14"/>
        <v>25</v>
      </c>
      <c r="N77" s="14">
        <f t="shared" si="15"/>
        <v>100</v>
      </c>
      <c r="O77" s="54">
        <v>2</v>
      </c>
      <c r="P77" s="54">
        <v>8</v>
      </c>
      <c r="Q77" s="54">
        <v>28</v>
      </c>
      <c r="R77" s="54">
        <v>104</v>
      </c>
      <c r="S77" s="74" t="s">
        <v>261</v>
      </c>
      <c r="T77" s="134">
        <v>3</v>
      </c>
      <c r="U77" s="73">
        <f t="shared" si="16"/>
        <v>6</v>
      </c>
      <c r="V77" s="134">
        <v>3</v>
      </c>
      <c r="W77" s="73">
        <f t="shared" si="17"/>
        <v>24</v>
      </c>
      <c r="X77" s="134">
        <v>3</v>
      </c>
      <c r="Y77" s="73">
        <f t="shared" si="18"/>
        <v>84</v>
      </c>
      <c r="Z77" s="134">
        <v>3</v>
      </c>
      <c r="AA77" s="73">
        <f t="shared" si="19"/>
        <v>312</v>
      </c>
      <c r="AB77" s="95"/>
    </row>
    <row r="78" s="1" customFormat="1" ht="13.5" spans="1:28">
      <c r="A78" s="6">
        <f t="shared" si="20"/>
        <v>76</v>
      </c>
      <c r="B78" s="111"/>
      <c r="C78" s="165" t="s">
        <v>448</v>
      </c>
      <c r="D78" s="163" t="s">
        <v>449</v>
      </c>
      <c r="E78" s="112" t="s">
        <v>450</v>
      </c>
      <c r="F78" s="163" t="s">
        <v>451</v>
      </c>
      <c r="G78" s="163" t="s">
        <v>410</v>
      </c>
      <c r="H78" s="163" t="s">
        <v>35</v>
      </c>
      <c r="I78" s="35" t="s">
        <v>452</v>
      </c>
      <c r="J78" s="162" t="s">
        <v>196</v>
      </c>
      <c r="K78" s="61">
        <v>1</v>
      </c>
      <c r="L78" s="31">
        <f t="shared" si="13"/>
        <v>5</v>
      </c>
      <c r="M78" s="31">
        <f t="shared" si="14"/>
        <v>25</v>
      </c>
      <c r="N78" s="31">
        <f t="shared" si="15"/>
        <v>100</v>
      </c>
      <c r="O78" s="59">
        <v>3</v>
      </c>
      <c r="P78" s="59">
        <v>7</v>
      </c>
      <c r="Q78" s="59">
        <v>28</v>
      </c>
      <c r="R78" s="59">
        <v>105</v>
      </c>
      <c r="S78" s="135" t="s">
        <v>38</v>
      </c>
      <c r="T78" s="82">
        <v>0.5861</v>
      </c>
      <c r="U78" s="83">
        <f t="shared" si="16"/>
        <v>1.7583</v>
      </c>
      <c r="V78" s="82">
        <v>0.5861</v>
      </c>
      <c r="W78" s="83">
        <f t="shared" si="17"/>
        <v>4.1027</v>
      </c>
      <c r="X78" s="82">
        <v>0.5014</v>
      </c>
      <c r="Y78" s="83">
        <f t="shared" si="18"/>
        <v>14.0392</v>
      </c>
      <c r="Z78" s="82">
        <v>0.3914</v>
      </c>
      <c r="AA78" s="83">
        <f t="shared" si="19"/>
        <v>41.097</v>
      </c>
      <c r="AB78" s="100"/>
    </row>
    <row r="79" s="1" customFormat="1" spans="1:28">
      <c r="A79" s="6">
        <f t="shared" si="20"/>
        <v>77</v>
      </c>
      <c r="B79" s="7" t="s">
        <v>453</v>
      </c>
      <c r="C79" s="148" t="s">
        <v>454</v>
      </c>
      <c r="D79" s="149" t="s">
        <v>455</v>
      </c>
      <c r="E79" s="149" t="s">
        <v>32</v>
      </c>
      <c r="F79" s="149" t="s">
        <v>456</v>
      </c>
      <c r="G79" s="11" t="s">
        <v>457</v>
      </c>
      <c r="H79" s="150" t="s">
        <v>35</v>
      </c>
      <c r="I79" s="66" t="s">
        <v>458</v>
      </c>
      <c r="J79" s="149" t="s">
        <v>399</v>
      </c>
      <c r="K79" s="10">
        <v>1</v>
      </c>
      <c r="L79" s="11">
        <f t="shared" si="13"/>
        <v>5</v>
      </c>
      <c r="M79" s="11">
        <f t="shared" si="14"/>
        <v>25</v>
      </c>
      <c r="N79" s="11">
        <f t="shared" si="15"/>
        <v>100</v>
      </c>
      <c r="O79" s="51">
        <v>3</v>
      </c>
      <c r="P79" s="51">
        <v>7</v>
      </c>
      <c r="Q79" s="51">
        <v>28</v>
      </c>
      <c r="R79" s="51">
        <v>105</v>
      </c>
      <c r="S79" s="84" t="s">
        <v>38</v>
      </c>
      <c r="T79" s="85">
        <v>2.0991</v>
      </c>
      <c r="U79" s="70">
        <f t="shared" si="16"/>
        <v>6.2973</v>
      </c>
      <c r="V79" s="85">
        <v>2.0991</v>
      </c>
      <c r="W79" s="70">
        <f t="shared" si="17"/>
        <v>14.6937</v>
      </c>
      <c r="X79" s="85">
        <v>1.7023</v>
      </c>
      <c r="Y79" s="70">
        <f t="shared" si="18"/>
        <v>47.6644</v>
      </c>
      <c r="Z79" s="69">
        <v>1.0834</v>
      </c>
      <c r="AA79" s="70">
        <f t="shared" si="19"/>
        <v>113.757</v>
      </c>
      <c r="AB79" s="94"/>
    </row>
    <row r="80" s="1" customFormat="1" spans="1:28">
      <c r="A80" s="6">
        <f t="shared" si="20"/>
        <v>78</v>
      </c>
      <c r="B80" s="12"/>
      <c r="C80" s="154" t="s">
        <v>459</v>
      </c>
      <c r="D80" s="153" t="s">
        <v>460</v>
      </c>
      <c r="E80" s="153" t="s">
        <v>32</v>
      </c>
      <c r="F80" s="153" t="s">
        <v>461</v>
      </c>
      <c r="G80" s="14" t="s">
        <v>462</v>
      </c>
      <c r="H80" s="152" t="s">
        <v>35</v>
      </c>
      <c r="I80" s="152" t="s">
        <v>35</v>
      </c>
      <c r="J80" s="153" t="s">
        <v>399</v>
      </c>
      <c r="K80" s="15">
        <v>2</v>
      </c>
      <c r="L80" s="14">
        <f t="shared" si="13"/>
        <v>10</v>
      </c>
      <c r="M80" s="14">
        <f t="shared" si="14"/>
        <v>50</v>
      </c>
      <c r="N80" s="14">
        <f t="shared" si="15"/>
        <v>200</v>
      </c>
      <c r="O80" s="54">
        <v>20</v>
      </c>
      <c r="P80" s="54">
        <v>20</v>
      </c>
      <c r="Q80" s="54">
        <v>60</v>
      </c>
      <c r="R80" s="54">
        <v>220</v>
      </c>
      <c r="S80" s="77" t="s">
        <v>463</v>
      </c>
      <c r="T80" s="80">
        <v>1.53</v>
      </c>
      <c r="U80" s="73">
        <f t="shared" si="16"/>
        <v>30.6</v>
      </c>
      <c r="V80" s="80">
        <v>1.53</v>
      </c>
      <c r="W80" s="73">
        <f t="shared" si="17"/>
        <v>30.6</v>
      </c>
      <c r="X80" s="80">
        <v>1.53</v>
      </c>
      <c r="Y80" s="73">
        <f t="shared" si="18"/>
        <v>91.8</v>
      </c>
      <c r="Z80" s="80">
        <v>1.34</v>
      </c>
      <c r="AA80" s="73">
        <f t="shared" si="19"/>
        <v>294.8</v>
      </c>
      <c r="AB80" s="95"/>
    </row>
    <row r="81" s="1" customFormat="1" spans="1:28">
      <c r="A81" s="6">
        <f t="shared" si="20"/>
        <v>79</v>
      </c>
      <c r="B81" s="12"/>
      <c r="C81" s="182" t="s">
        <v>464</v>
      </c>
      <c r="D81" s="169" t="s">
        <v>465</v>
      </c>
      <c r="E81" s="168" t="s">
        <v>32</v>
      </c>
      <c r="F81" s="169" t="s">
        <v>466</v>
      </c>
      <c r="G81" s="169" t="s">
        <v>467</v>
      </c>
      <c r="H81" s="169" t="s">
        <v>35</v>
      </c>
      <c r="I81" s="169" t="s">
        <v>35</v>
      </c>
      <c r="J81" s="126"/>
      <c r="K81" s="126">
        <v>1</v>
      </c>
      <c r="L81" s="38">
        <f t="shared" si="13"/>
        <v>5</v>
      </c>
      <c r="M81" s="38">
        <f t="shared" si="14"/>
        <v>25</v>
      </c>
      <c r="N81" s="38">
        <f t="shared" si="15"/>
        <v>100</v>
      </c>
      <c r="O81" s="63"/>
      <c r="P81" s="63"/>
      <c r="Q81" s="63"/>
      <c r="R81" s="63"/>
      <c r="S81" s="136"/>
      <c r="T81" s="137"/>
      <c r="U81" s="138">
        <f t="shared" si="16"/>
        <v>0</v>
      </c>
      <c r="V81" s="137"/>
      <c r="W81" s="138">
        <f t="shared" si="17"/>
        <v>0</v>
      </c>
      <c r="X81" s="137"/>
      <c r="Y81" s="138">
        <f t="shared" si="18"/>
        <v>0</v>
      </c>
      <c r="Z81" s="137"/>
      <c r="AA81" s="138">
        <f t="shared" si="19"/>
        <v>0</v>
      </c>
      <c r="AB81" s="97" t="s">
        <v>227</v>
      </c>
    </row>
    <row r="82" s="1" customFormat="1" spans="1:28">
      <c r="A82" s="6">
        <f t="shared" si="20"/>
        <v>80</v>
      </c>
      <c r="B82" s="12"/>
      <c r="C82" s="183" t="s">
        <v>468</v>
      </c>
      <c r="D82" s="184" t="s">
        <v>469</v>
      </c>
      <c r="E82" s="184" t="s">
        <v>32</v>
      </c>
      <c r="F82" s="184" t="s">
        <v>470</v>
      </c>
      <c r="G82" s="115" t="s">
        <v>471</v>
      </c>
      <c r="H82" s="152" t="s">
        <v>35</v>
      </c>
      <c r="I82" s="19" t="s">
        <v>472</v>
      </c>
      <c r="J82" s="184" t="s">
        <v>399</v>
      </c>
      <c r="K82" s="115">
        <v>1</v>
      </c>
      <c r="L82" s="14">
        <f t="shared" si="13"/>
        <v>5</v>
      </c>
      <c r="M82" s="14">
        <f t="shared" si="14"/>
        <v>25</v>
      </c>
      <c r="N82" s="14">
        <f t="shared" si="15"/>
        <v>100</v>
      </c>
      <c r="O82" s="54">
        <v>10</v>
      </c>
      <c r="P82" s="54">
        <v>10</v>
      </c>
      <c r="Q82" s="54">
        <v>30</v>
      </c>
      <c r="R82" s="54">
        <v>110</v>
      </c>
      <c r="S82" s="77" t="s">
        <v>38</v>
      </c>
      <c r="T82" s="80">
        <v>0.054</v>
      </c>
      <c r="U82" s="73">
        <f t="shared" si="16"/>
        <v>0.54</v>
      </c>
      <c r="V82" s="80">
        <v>0.054</v>
      </c>
      <c r="W82" s="73">
        <f t="shared" si="17"/>
        <v>0.54</v>
      </c>
      <c r="X82" s="80">
        <v>0.054</v>
      </c>
      <c r="Y82" s="73">
        <f t="shared" si="18"/>
        <v>1.62</v>
      </c>
      <c r="Z82" s="80">
        <v>0.0453</v>
      </c>
      <c r="AA82" s="73">
        <f t="shared" si="19"/>
        <v>4.983</v>
      </c>
      <c r="AB82" s="144"/>
    </row>
    <row r="83" s="1" customFormat="1" spans="1:28">
      <c r="A83" s="6">
        <f t="shared" si="20"/>
        <v>81</v>
      </c>
      <c r="B83" s="12"/>
      <c r="C83" s="154" t="s">
        <v>473</v>
      </c>
      <c r="D83" s="153" t="s">
        <v>474</v>
      </c>
      <c r="E83" s="153" t="s">
        <v>32</v>
      </c>
      <c r="F83" s="153" t="s">
        <v>475</v>
      </c>
      <c r="G83" s="14" t="s">
        <v>476</v>
      </c>
      <c r="H83" s="152" t="s">
        <v>35</v>
      </c>
      <c r="I83" s="152" t="s">
        <v>35</v>
      </c>
      <c r="J83" s="153" t="s">
        <v>399</v>
      </c>
      <c r="K83" s="15">
        <v>2</v>
      </c>
      <c r="L83" s="14">
        <f t="shared" si="13"/>
        <v>10</v>
      </c>
      <c r="M83" s="14">
        <f t="shared" si="14"/>
        <v>50</v>
      </c>
      <c r="N83" s="14">
        <f t="shared" si="15"/>
        <v>200</v>
      </c>
      <c r="O83" s="54">
        <v>10</v>
      </c>
      <c r="P83" s="54">
        <v>20</v>
      </c>
      <c r="Q83" s="54">
        <v>60</v>
      </c>
      <c r="R83" s="54">
        <v>110</v>
      </c>
      <c r="S83" s="77" t="s">
        <v>463</v>
      </c>
      <c r="T83" s="80">
        <v>4.64</v>
      </c>
      <c r="U83" s="73">
        <f t="shared" si="16"/>
        <v>46.4</v>
      </c>
      <c r="V83" s="80">
        <v>4.64</v>
      </c>
      <c r="W83" s="73">
        <f t="shared" si="17"/>
        <v>92.8</v>
      </c>
      <c r="X83" s="80">
        <v>3.25</v>
      </c>
      <c r="Y83" s="73">
        <f t="shared" si="18"/>
        <v>195</v>
      </c>
      <c r="Z83" s="80">
        <v>1.39</v>
      </c>
      <c r="AA83" s="73">
        <f t="shared" si="19"/>
        <v>152.9</v>
      </c>
      <c r="AB83" s="97" t="s">
        <v>477</v>
      </c>
    </row>
    <row r="84" s="1" customFormat="1" spans="1:28">
      <c r="A84" s="6">
        <f t="shared" si="20"/>
        <v>82</v>
      </c>
      <c r="B84" s="12"/>
      <c r="C84" s="154" t="s">
        <v>478</v>
      </c>
      <c r="D84" s="152" t="s">
        <v>479</v>
      </c>
      <c r="E84" s="153" t="s">
        <v>480</v>
      </c>
      <c r="F84" s="18">
        <v>61300211121</v>
      </c>
      <c r="G84" s="14" t="s">
        <v>481</v>
      </c>
      <c r="H84" s="49" t="s">
        <v>482</v>
      </c>
      <c r="I84" s="19" t="s">
        <v>483</v>
      </c>
      <c r="J84" s="153" t="s">
        <v>399</v>
      </c>
      <c r="K84" s="15">
        <v>4</v>
      </c>
      <c r="L84" s="14">
        <f t="shared" si="13"/>
        <v>20</v>
      </c>
      <c r="M84" s="14">
        <f t="shared" si="14"/>
        <v>100</v>
      </c>
      <c r="N84" s="14">
        <f t="shared" si="15"/>
        <v>400</v>
      </c>
      <c r="O84" s="54">
        <v>20</v>
      </c>
      <c r="P84" s="54">
        <v>40</v>
      </c>
      <c r="Q84" s="54">
        <v>120</v>
      </c>
      <c r="R84" s="54">
        <v>420</v>
      </c>
      <c r="S84" s="77" t="s">
        <v>38</v>
      </c>
      <c r="T84" s="80">
        <v>0.0345</v>
      </c>
      <c r="U84" s="73">
        <f t="shared" si="16"/>
        <v>0.69</v>
      </c>
      <c r="V84" s="80">
        <v>0.0345</v>
      </c>
      <c r="W84" s="73">
        <f t="shared" si="17"/>
        <v>1.38</v>
      </c>
      <c r="X84" s="80">
        <v>0.0345</v>
      </c>
      <c r="Y84" s="73">
        <f t="shared" si="18"/>
        <v>4.14</v>
      </c>
      <c r="Z84" s="80">
        <v>0.0345</v>
      </c>
      <c r="AA84" s="73">
        <f t="shared" si="19"/>
        <v>14.49</v>
      </c>
      <c r="AB84" s="145"/>
    </row>
    <row r="85" s="1" customFormat="1" spans="1:28">
      <c r="A85" s="6">
        <f t="shared" si="20"/>
        <v>83</v>
      </c>
      <c r="B85" s="12"/>
      <c r="C85" s="185" t="s">
        <v>484</v>
      </c>
      <c r="D85" s="186" t="s">
        <v>485</v>
      </c>
      <c r="E85" s="186" t="s">
        <v>486</v>
      </c>
      <c r="F85" s="186" t="s">
        <v>486</v>
      </c>
      <c r="G85" s="117"/>
      <c r="H85" s="187" t="s">
        <v>35</v>
      </c>
      <c r="I85" s="187" t="s">
        <v>35</v>
      </c>
      <c r="J85" s="188" t="s">
        <v>399</v>
      </c>
      <c r="K85" s="117">
        <v>4</v>
      </c>
      <c r="L85" s="127">
        <f t="shared" si="13"/>
        <v>20</v>
      </c>
      <c r="M85" s="127">
        <f t="shared" si="14"/>
        <v>100</v>
      </c>
      <c r="N85" s="127">
        <f t="shared" si="15"/>
        <v>400</v>
      </c>
      <c r="O85" s="187" t="s">
        <v>35</v>
      </c>
      <c r="P85" s="187" t="s">
        <v>35</v>
      </c>
      <c r="Q85" s="187" t="s">
        <v>35</v>
      </c>
      <c r="R85" s="187" t="s">
        <v>35</v>
      </c>
      <c r="S85" s="187" t="s">
        <v>35</v>
      </c>
      <c r="T85" s="187" t="s">
        <v>35</v>
      </c>
      <c r="U85" s="187" t="s">
        <v>35</v>
      </c>
      <c r="V85" s="187" t="s">
        <v>35</v>
      </c>
      <c r="W85" s="187" t="s">
        <v>35</v>
      </c>
      <c r="X85" s="187" t="s">
        <v>35</v>
      </c>
      <c r="Y85" s="187" t="s">
        <v>35</v>
      </c>
      <c r="Z85" s="187" t="s">
        <v>35</v>
      </c>
      <c r="AA85" s="187" t="s">
        <v>35</v>
      </c>
      <c r="AB85" s="146" t="s">
        <v>487</v>
      </c>
    </row>
    <row r="86" s="1" customFormat="1" ht="13.5" spans="1:28">
      <c r="A86" s="119">
        <f t="shared" si="20"/>
        <v>84</v>
      </c>
      <c r="B86" s="27"/>
      <c r="C86" s="189" t="s">
        <v>488</v>
      </c>
      <c r="D86" s="190" t="s">
        <v>489</v>
      </c>
      <c r="E86" s="190" t="s">
        <v>490</v>
      </c>
      <c r="F86" s="190" t="s">
        <v>490</v>
      </c>
      <c r="G86" s="121"/>
      <c r="H86" s="191" t="s">
        <v>35</v>
      </c>
      <c r="I86" s="191" t="s">
        <v>35</v>
      </c>
      <c r="J86" s="192" t="s">
        <v>399</v>
      </c>
      <c r="K86" s="121">
        <v>11</v>
      </c>
      <c r="L86" s="129">
        <f t="shared" si="13"/>
        <v>55</v>
      </c>
      <c r="M86" s="129">
        <f t="shared" si="14"/>
        <v>275</v>
      </c>
      <c r="N86" s="129">
        <f t="shared" si="15"/>
        <v>1100</v>
      </c>
      <c r="O86" s="191" t="s">
        <v>35</v>
      </c>
      <c r="P86" s="191" t="s">
        <v>35</v>
      </c>
      <c r="Q86" s="191" t="s">
        <v>35</v>
      </c>
      <c r="R86" s="191" t="s">
        <v>35</v>
      </c>
      <c r="S86" s="191" t="s">
        <v>35</v>
      </c>
      <c r="T86" s="191" t="s">
        <v>35</v>
      </c>
      <c r="U86" s="191" t="s">
        <v>35</v>
      </c>
      <c r="V86" s="191" t="s">
        <v>35</v>
      </c>
      <c r="W86" s="191" t="s">
        <v>35</v>
      </c>
      <c r="X86" s="191" t="s">
        <v>35</v>
      </c>
      <c r="Y86" s="191" t="s">
        <v>35</v>
      </c>
      <c r="Z86" s="191" t="s">
        <v>35</v>
      </c>
      <c r="AA86" s="191" t="s">
        <v>35</v>
      </c>
      <c r="AB86" s="147" t="s">
        <v>487</v>
      </c>
    </row>
    <row r="87" s="1" customFormat="1" ht="19.5" spans="1:28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30" t="s">
        <v>491</v>
      </c>
      <c r="L87" s="130"/>
      <c r="M87" s="130"/>
      <c r="N87" s="130"/>
      <c r="O87" s="131"/>
      <c r="P87" s="131"/>
      <c r="Q87" s="131"/>
      <c r="R87" s="131"/>
      <c r="S87" s="139"/>
      <c r="T87" s="123"/>
      <c r="U87" s="140">
        <f>SUM(U3:U84)</f>
        <v>416.2831</v>
      </c>
      <c r="V87" s="141"/>
      <c r="W87" s="140">
        <f>SUM(W3:W84)</f>
        <v>632.4999</v>
      </c>
      <c r="X87" s="141"/>
      <c r="Y87" s="140">
        <f>SUM(Y3:Y86)</f>
        <v>1750.2766</v>
      </c>
      <c r="Z87" s="141"/>
      <c r="AA87" s="140">
        <f>SUM(AA3:AA86)</f>
        <v>5564.9545</v>
      </c>
      <c r="AB87" s="123"/>
    </row>
    <row r="88" s="1" customFormat="1" ht="18.75" spans="1:28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32" t="s">
        <v>492</v>
      </c>
      <c r="L88" s="132"/>
      <c r="M88" s="132"/>
      <c r="N88" s="132"/>
      <c r="O88" s="131"/>
      <c r="P88" s="131"/>
      <c r="Q88" s="131"/>
      <c r="R88" s="131"/>
      <c r="S88" s="139"/>
      <c r="T88" s="123"/>
      <c r="U88" s="141"/>
      <c r="V88" s="141"/>
      <c r="W88" s="141">
        <f>W87/5</f>
        <v>126.49998</v>
      </c>
      <c r="X88" s="141"/>
      <c r="Y88" s="141">
        <f>Y87/25</f>
        <v>70.011064</v>
      </c>
      <c r="Z88" s="141"/>
      <c r="AA88" s="141">
        <f>AA87/100</f>
        <v>55.649545</v>
      </c>
      <c r="AB88" s="123"/>
    </row>
  </sheetData>
  <mergeCells count="10">
    <mergeCell ref="A1:AB1"/>
    <mergeCell ref="K87:N87"/>
    <mergeCell ref="K88:N88"/>
    <mergeCell ref="B3:B30"/>
    <mergeCell ref="B31:B32"/>
    <mergeCell ref="B33:B37"/>
    <mergeCell ref="B39:B41"/>
    <mergeCell ref="B43:B66"/>
    <mergeCell ref="B69:B78"/>
    <mergeCell ref="B79:B86"/>
  </mergeCells>
  <conditionalFormatting sqref="W88:AA8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{0e4505d5-9b19-4319-ab61-159d064c81ba}</x14:id>
        </ext>
      </extLst>
    </cfRule>
  </conditionalFormatting>
  <conditionalFormatting sqref="U3:U84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{06aca94c-0162-4d36-915e-c264cfe2e3cc}</x14:id>
        </ext>
      </extLst>
    </cfRule>
  </conditionalFormatting>
  <conditionalFormatting sqref="Y3:Y84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{8193ebc2-aed3-499e-b9b6-37955defcdf8}</x14:id>
        </ext>
      </extLst>
    </cfRule>
  </conditionalFormatting>
  <conditionalFormatting sqref="AA3:AA8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{2c0ae225-3b9f-4f22-9ea0-9e0a27fd930c}</x14:id>
        </ext>
      </extLst>
    </cfRule>
  </conditionalFormatting>
  <conditionalFormatting sqref="K3:N3 S3:S10 S12:S84 K74:K75 L4:N86 K82:K86 K79:K80 K9:K13 K67 K47:K56 K16 K36:K38 K45 K5 K25:K30 K42:K43 K7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N86 S3:S10 S12:S8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:AA3 W3:W84 Z4:Z10 Z12:Z66 Z68:Z73 Z83:Z84 Z75 Z77:Z81 Y4:Y84 AA4:AA8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{90e43778-5195-4c68-8c6b-05e058a6e724}</x14:id>
        </ext>
      </extLst>
    </cfRule>
  </conditionalFormatting>
  <hyperlinks>
    <hyperlink ref="S3" r:id="rId1" display="LCSC"/>
    <hyperlink ref="S5" r:id="rId2" display="LCSC"/>
    <hyperlink ref="S6" r:id="rId3" display="LCSC"/>
    <hyperlink ref="S8" r:id="rId4" display="LCSC"/>
    <hyperlink ref="S7" r:id="rId5" display="LCSC"/>
    <hyperlink ref="S9" r:id="rId6" display="LCSC"/>
    <hyperlink ref="S12" r:id="rId7" display="LCSC"/>
    <hyperlink ref="S11" r:id="rId8" display="LCSC"/>
    <hyperlink ref="S13" r:id="rId9" display="LCSC"/>
    <hyperlink ref="S14" r:id="rId10" display="LCSC"/>
    <hyperlink ref="S15" r:id="rId11" display="LCSC"/>
    <hyperlink ref="S16" r:id="rId12" display="LCSC"/>
    <hyperlink ref="S17" r:id="rId13" display="LCSC"/>
    <hyperlink ref="S18" r:id="rId14" display="LCSC"/>
    <hyperlink ref="S19" r:id="rId15" display="LCSC"/>
    <hyperlink ref="S20" r:id="rId16" display="LCSC"/>
    <hyperlink ref="S21" r:id="rId17" display="LCSC"/>
    <hyperlink ref="S22" r:id="rId18" display="LCSC"/>
    <hyperlink ref="S23" r:id="rId19" display="LCSC"/>
    <hyperlink ref="S24" r:id="rId20" display="LCSC"/>
    <hyperlink ref="S25" r:id="rId21" display="LCSC"/>
    <hyperlink ref="S26" r:id="rId22" display="LCSC"/>
    <hyperlink ref="S27" r:id="rId23" display="LCSC"/>
    <hyperlink ref="S28" r:id="rId24" display="LCSC"/>
    <hyperlink ref="S29" r:id="rId8" display="LCSC"/>
    <hyperlink ref="S30" r:id="rId25" display="LCSC"/>
    <hyperlink ref="S31" r:id="rId26" display="Verical"/>
    <hyperlink ref="S32" r:id="rId27" display="LCSC"/>
    <hyperlink ref="S33" r:id="rId28" display="LCSC"/>
    <hyperlink ref="S34" r:id="rId29" display="LCSC"/>
    <hyperlink ref="S35" r:id="rId30" display="LCSC"/>
    <hyperlink ref="S37" r:id="rId31" display="LCSC"/>
    <hyperlink ref="S39" r:id="rId32" display="LCSC"/>
    <hyperlink ref="S40" r:id="rId33" display="LCSC"/>
    <hyperlink ref="S41" r:id="rId34" display="LCSC"/>
    <hyperlink ref="S42" r:id="rId35" display="Aliexpress"/>
    <hyperlink ref="S43" r:id="rId36" display="LCSC"/>
    <hyperlink ref="S44" r:id="rId37" display="LCSC"/>
    <hyperlink ref="S45" r:id="rId38" display="LCSC"/>
    <hyperlink ref="S46" r:id="rId39" display="LCSC"/>
    <hyperlink ref="S47" r:id="rId40" display="LCSC"/>
    <hyperlink ref="S48" r:id="rId41" display="LCSC"/>
    <hyperlink ref="S49" r:id="rId42" display="LCSC"/>
    <hyperlink ref="S50" r:id="rId43" display="LCSC"/>
    <hyperlink ref="S51" r:id="rId44" display="LCSC"/>
    <hyperlink ref="S52" r:id="rId45" display="LCSC"/>
    <hyperlink ref="S53" r:id="rId46" display="LCSC"/>
    <hyperlink ref="S54" r:id="rId47" display="LCSC"/>
    <hyperlink ref="S55" r:id="rId48" display="LCSC"/>
    <hyperlink ref="S56" r:id="rId49" display="LCSC"/>
    <hyperlink ref="S57" r:id="rId50" display="LCSC"/>
    <hyperlink ref="S58" r:id="rId51" display="LCSC"/>
    <hyperlink ref="S59" r:id="rId52" display="LCSC"/>
    <hyperlink ref="S60" r:id="rId53" display="LCSC"/>
    <hyperlink ref="S61" r:id="rId54" display="LCSC"/>
    <hyperlink ref="S62" r:id="rId55" display="LCSC"/>
    <hyperlink ref="S63" r:id="rId56" display="LCSC"/>
    <hyperlink ref="S64" r:id="rId57" display="LCSC"/>
    <hyperlink ref="S65" r:id="rId58" display="LCSC"/>
    <hyperlink ref="S66" r:id="rId59" display="LCSC"/>
    <hyperlink ref="S67" r:id="rId60" display="Aliexpress"/>
    <hyperlink ref="S69" r:id="rId61" display="Winsource"/>
    <hyperlink ref="S70" r:id="rId62" display="Aliexpress"/>
    <hyperlink ref="S71" r:id="rId63" display="Aliexpress"/>
    <hyperlink ref="S72" r:id="rId64" display="Aliexpress"/>
    <hyperlink ref="S73" r:id="rId65" display="LCSC"/>
    <hyperlink ref="S74" r:id="rId66" display="Aliexpress"/>
    <hyperlink ref="S75" r:id="rId67" display="Aliexpress"/>
    <hyperlink ref="S76" r:id="rId68" display="Aliexpress"/>
    <hyperlink ref="S77" r:id="rId69" display="Aliexpress"/>
    <hyperlink ref="S78" r:id="rId70" display="LCSC"/>
    <hyperlink ref="S79" r:id="rId71" display="LCSC"/>
    <hyperlink ref="S80" r:id="rId72" display="Onlinecomponents"/>
    <hyperlink ref="S82" r:id="rId73" display="LCSC"/>
    <hyperlink ref="S83" r:id="rId74" display="Onlinecomponents"/>
    <hyperlink ref="S84" r:id="rId75" display="LCSC"/>
    <hyperlink ref="I6" r:id="rId3" display="C307331" tooltip="https://lcsc.com/product-detail/Multilayer-Ceramic-Capacitors-MLCC-SMD-SMT_Samsung-Electro-Mechanics-CL05B104KB54PNC_C307331.html"/>
    <hyperlink ref="S4" r:id="rId76" display="LCSC"/>
    <hyperlink ref="S10" r:id="rId77" display="LCSC"/>
    <hyperlink ref="I7" r:id="rId5" display="C327025" tooltip="https://lcsc.com/product-detail/Multilayer-Ceramic-Capacitors-MLCC-SMD-SMT_YAGEO-CC0402KRX7R8BB103_C327025.html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4505d5-9b19-4319-ab61-159d064c81b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W88:AA88</xm:sqref>
        </x14:conditionalFormatting>
        <x14:conditionalFormatting xmlns:xm="http://schemas.microsoft.com/office/excel/2006/main">
          <x14:cfRule type="dataBar" id="{06aca94c-0162-4d36-915e-c264cfe2e3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U3:U84</xm:sqref>
        </x14:conditionalFormatting>
        <x14:conditionalFormatting xmlns:xm="http://schemas.microsoft.com/office/excel/2006/main">
          <x14:cfRule type="dataBar" id="{8193ebc2-aed3-499e-b9b6-37955defcdf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Y3:Y84</xm:sqref>
        </x14:conditionalFormatting>
        <x14:conditionalFormatting xmlns:xm="http://schemas.microsoft.com/office/excel/2006/main">
          <x14:cfRule type="dataBar" id="{2c0ae225-3b9f-4f22-9ea0-9e0a27fd93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AA3:AA84</xm:sqref>
        </x14:conditionalFormatting>
        <x14:conditionalFormatting xmlns:xm="http://schemas.microsoft.com/office/excel/2006/main">
          <x14:cfRule type="dataBar" id="{90e43778-5195-4c68-8c6b-05e058a6e7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Y3:AA3 W3:W84 Z4:Z10 Z12:Z66 Z68:Z73 Z83:Z84 Z75 Z77:Z81 Y4:Y84 AA4:AA84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2022-03-24T13:48:00Z</dcterms:created>
  <dcterms:modified xsi:type="dcterms:W3CDTF">2022-03-25T14:03:21Z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5BF2ACF6AF6243D1BCFFE42E867C80E3</vt:lpwstr>
  </property>
  <property fmtid="{D5CDD505-2E9C-101B-9397-08002B2CF9AE}" pid="3" name="KSOProductBuildVer">
    <vt:lpwstr>1033-11.2.0.11029</vt:lpwstr>
  </property>
</Properties>
</file>