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eSpark\ColeBenson-SmartMotors\Deliverables\SM_Top Board\_BOM\"/>
    </mc:Choice>
  </mc:AlternateContent>
  <xr:revisionPtr revIDLastSave="0" documentId="13_ncr:1_{AD504608-9879-44D3-9473-36F78EB149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_Top_PCB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8" i="1" l="1"/>
  <c r="N53" i="1"/>
  <c r="N55" i="1"/>
  <c r="P55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4" i="1"/>
  <c r="N6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2" i="1"/>
  <c r="P43" i="1"/>
  <c r="P45" i="1"/>
  <c r="P46" i="1"/>
  <c r="P47" i="1"/>
  <c r="P49" i="1"/>
  <c r="P50" i="1"/>
  <c r="P51" i="1"/>
  <c r="P52" i="1"/>
  <c r="P54" i="1"/>
  <c r="P3" i="1"/>
  <c r="K16" i="1"/>
  <c r="N3" i="1"/>
  <c r="N4" i="1"/>
  <c r="N5" i="1"/>
  <c r="N56" i="1"/>
  <c r="N57" i="1"/>
  <c r="K4" i="1"/>
  <c r="K5" i="1"/>
  <c r="K6" i="1"/>
  <c r="K7" i="1"/>
  <c r="K8" i="1"/>
  <c r="K9" i="1"/>
  <c r="K10" i="1"/>
  <c r="K11" i="1"/>
  <c r="K12" i="1"/>
  <c r="K13" i="1"/>
  <c r="K14" i="1"/>
  <c r="K15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P56" i="1" s="1"/>
  <c r="K57" i="1"/>
  <c r="P57" i="1" s="1"/>
  <c r="K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N58" i="1" l="1"/>
</calcChain>
</file>

<file path=xl/sharedStrings.xml><?xml version="1.0" encoding="utf-8"?>
<sst xmlns="http://schemas.openxmlformats.org/spreadsheetml/2006/main" count="445" uniqueCount="294">
  <si>
    <t>Description</t>
  </si>
  <si>
    <t>Designator</t>
  </si>
  <si>
    <t>Manufacturer Part Number</t>
  </si>
  <si>
    <t>220uF</t>
  </si>
  <si>
    <t>220uF ±20% 63V 10mm 14.5mm 1.2A 100kHz 10000hrs 105? -55?~+105? SMD,10x14.5mm Aluminum Electrolytic Capacitors - SMD RoHS</t>
  </si>
  <si>
    <t>C1, C22</t>
  </si>
  <si>
    <t>VKME1451J221MV</t>
  </si>
  <si>
    <t>0.1uF</t>
  </si>
  <si>
    <t>Cap Ceramic 0.1uF 50VDC X7R 10% SMD 0603 Paper T/R</t>
  </si>
  <si>
    <t>C2, C13, CF1, CF2, CF3, CF4, CF5, CF6</t>
  </si>
  <si>
    <t>Cap0603</t>
  </si>
  <si>
    <t>CL10B104KB8NNNC</t>
  </si>
  <si>
    <t>1uF</t>
  </si>
  <si>
    <t>CAP CER 1UF 100V X7S 0805</t>
  </si>
  <si>
    <t>C3</t>
  </si>
  <si>
    <t>Cap0805</t>
  </si>
  <si>
    <t>C2012X7S2A105K125AB</t>
  </si>
  <si>
    <t>470uF</t>
  </si>
  <si>
    <t>470uF ±20% 50V 12.5mm 13.5mm 1000hrs 105? -40?~+105? SMD,12.5x13.5mm Aluminum Electrolytic Capacitors - SMD RoHS</t>
  </si>
  <si>
    <t>C4</t>
  </si>
  <si>
    <t>VT1H471MI135000CE0</t>
  </si>
  <si>
    <t>68uF</t>
  </si>
  <si>
    <t>68uF ±20% 50V 6.3mm 10mm 390mA 6.3x10mm Aluminum Electrolytic Capacitors - SMD RoHS</t>
  </si>
  <si>
    <t>C5</t>
  </si>
  <si>
    <t>VKMC1001H680MV</t>
  </si>
  <si>
    <t>680pF</t>
  </si>
  <si>
    <t>CAP CER 680pF 50 V 0603</t>
  </si>
  <si>
    <t>C6</t>
  </si>
  <si>
    <t>CC0603KRX7R9BB681</t>
  </si>
  <si>
    <t>0.47uF</t>
  </si>
  <si>
    <t>CAP CER 0.47uF 50V X7R 0603</t>
  </si>
  <si>
    <t>C7</t>
  </si>
  <si>
    <t>Cap 0603</t>
  </si>
  <si>
    <t>UMK107B7474KA-TR</t>
  </si>
  <si>
    <t>22uF</t>
  </si>
  <si>
    <t>22uF ±20% 35V X5R 0805 Multilayer Ceramic Capacitors MLCC - SMD/SMT RoHS</t>
  </si>
  <si>
    <t>C8</t>
  </si>
  <si>
    <t>C2012X5R1V226MT000E</t>
  </si>
  <si>
    <t>1uF, 25 V, 0603 [1608 Metric], &amp;#177; 10%, X5R, CC Series</t>
  </si>
  <si>
    <t>C9</t>
  </si>
  <si>
    <t>CC0603KRX5R8BB105</t>
  </si>
  <si>
    <t>2.2uF</t>
  </si>
  <si>
    <t>CAP, 2.2µF, 35V, 10%, X5R, 0603</t>
  </si>
  <si>
    <t>C10, C14, C23, C24, C29</t>
  </si>
  <si>
    <t>GRM188R6YA225KA12D</t>
  </si>
  <si>
    <t>4.7UF</t>
  </si>
  <si>
    <t>CAP CER 4.7UF 25V X5R 0603</t>
  </si>
  <si>
    <t>C11, C12</t>
  </si>
  <si>
    <t>CL10A475KA8NQNC</t>
  </si>
  <si>
    <t>CAP CER 10000PF 100V X7R 0603</t>
  </si>
  <si>
    <t>C15, C20</t>
  </si>
  <si>
    <t>CL10B103KC8NNNC</t>
  </si>
  <si>
    <t>220nF</t>
  </si>
  <si>
    <t>22nF</t>
  </si>
  <si>
    <t>0603 .022uF 100volts X7R 10% T=0.8mm</t>
  </si>
  <si>
    <t>C17</t>
  </si>
  <si>
    <t>CGA3E2X7R2A223K080AA</t>
  </si>
  <si>
    <t>.47uF</t>
  </si>
  <si>
    <t>C30</t>
  </si>
  <si>
    <t>1nF</t>
  </si>
  <si>
    <t>CAP CER 1nF 100V X7R 0603</t>
  </si>
  <si>
    <t>C57, C58, C59, C60</t>
  </si>
  <si>
    <t>Res0603</t>
  </si>
  <si>
    <t>CL10B102KC8NNNC</t>
  </si>
  <si>
    <t>VS-30WQ04FNTR-M3</t>
  </si>
  <si>
    <t>Diode Schottky 40V 3.5A 3-Pin(2+Tab) DPAK T/R</t>
  </si>
  <si>
    <t>D2</t>
  </si>
  <si>
    <t>PMEG3010ER,115</t>
  </si>
  <si>
    <t>DIODE SCHOTTKY 30V 1A SOD123W</t>
  </si>
  <si>
    <t>D4, D5, D6, D7, D8, D9, D10, D11</t>
  </si>
  <si>
    <t>SOD-123W</t>
  </si>
  <si>
    <t>0685H9150-01</t>
  </si>
  <si>
    <t>FUSE BOARD MNT 15A 125VAC 32VDC</t>
  </si>
  <si>
    <t>F1</t>
  </si>
  <si>
    <t>MC-318</t>
  </si>
  <si>
    <t>USB - Type C Female 24 SMD USB Connectors RoHS</t>
  </si>
  <si>
    <t>J1</t>
  </si>
  <si>
    <t>5520425-2</t>
  </si>
  <si>
    <t>Conn RJ-25 F 6 POS 2.54mm Solder ST Thru-Hole 4 Terminal 1 Port Tray Cat 3</t>
  </si>
  <si>
    <t>J2, J5</t>
  </si>
  <si>
    <t>M55-7012042R</t>
  </si>
  <si>
    <t>CONN HEADER SMD 20POS 1.27MM</t>
  </si>
  <si>
    <t>J3</t>
  </si>
  <si>
    <t>B4P-VH-FB-B(LF)(SN)</t>
  </si>
  <si>
    <t>CONN HEADER VERT 4POS 3.96MM</t>
  </si>
  <si>
    <t>J4</t>
  </si>
  <si>
    <t>SPM10054T-680M-HZ</t>
  </si>
  <si>
    <t>FIXED IND 68UH 3.7A 162.87MOHM</t>
  </si>
  <si>
    <t>L1</t>
  </si>
  <si>
    <t>WS2812B-Mini</t>
  </si>
  <si>
    <t>SMD,3.5x3.5mm Light Emitting Diodes (LED) RoHS</t>
  </si>
  <si>
    <t>LED1</t>
  </si>
  <si>
    <t>XZVG68W-2</t>
  </si>
  <si>
    <t>LED GREEN CLEAR CHIP SMD</t>
  </si>
  <si>
    <t>LED2</t>
  </si>
  <si>
    <t>LED 0402</t>
  </si>
  <si>
    <t>PRT-10474</t>
  </si>
  <si>
    <t>XT60 CONNECTORS MALE/FEMALE PAIR</t>
  </si>
  <si>
    <t>P1, P2</t>
  </si>
  <si>
    <t>Test Point</t>
  </si>
  <si>
    <t>Test Point ON</t>
  </si>
  <si>
    <t>P3, P4, P5, P6</t>
  </si>
  <si>
    <t>TEST POINT</t>
  </si>
  <si>
    <t>61300211121</t>
  </si>
  <si>
    <t>CONN HEADER VERT 2POS 2.54MM</t>
  </si>
  <si>
    <t>P7, P8</t>
  </si>
  <si>
    <t>HDR1X2</t>
  </si>
  <si>
    <t>Header 1x2</t>
  </si>
  <si>
    <t>BSC072N08NS5ATMA1</t>
  </si>
  <si>
    <t>MOSFET N-CH 80V 74A 8TDSON</t>
  </si>
  <si>
    <t>Q2, Q3, Q4, Q5, Q6, Q7, Q8, Q9</t>
  </si>
  <si>
    <t>8-PowerTDFN</t>
  </si>
  <si>
    <t>5.1K</t>
  </si>
  <si>
    <t>RES SMD 5.1K OHM 5% 1/10W 0603</t>
  </si>
  <si>
    <t>R1, R2</t>
  </si>
  <si>
    <t>RC0603JR-075K1L</t>
  </si>
  <si>
    <t>0R</t>
  </si>
  <si>
    <t>RES SMD 0R, 1%, 0.1W, 0603</t>
  </si>
  <si>
    <t>R3, R29</t>
  </si>
  <si>
    <t>RC0603FR-070RL</t>
  </si>
  <si>
    <t>10.5K</t>
  </si>
  <si>
    <t>RES SMD 10.5K 0.1W 0603</t>
  </si>
  <si>
    <t>R4</t>
  </si>
  <si>
    <t>RC0603FR-0710K5L</t>
  </si>
  <si>
    <t>1K</t>
  </si>
  <si>
    <t>RES SMD 1K 0.1W 0603  75 V, Thick Film</t>
  </si>
  <si>
    <t>R5</t>
  </si>
  <si>
    <t>RC0603JR-071KL</t>
  </si>
  <si>
    <t>47R</t>
  </si>
  <si>
    <t>RES SMD 47OHM 0.1W 0603</t>
  </si>
  <si>
    <t>R6, R7, R8, R9</t>
  </si>
  <si>
    <t>RC0603FR-0747RL</t>
  </si>
  <si>
    <t>33m</t>
  </si>
  <si>
    <t>0.033O ±1% 2W ±1800ppm/°C 2512 Low Resistors &amp; Current Sense Resistors - Surface Mount RoHS</t>
  </si>
  <si>
    <t>R10, R11, R12, R13</t>
  </si>
  <si>
    <t>RES 2512</t>
  </si>
  <si>
    <t>CRH2512FR033E04Z</t>
  </si>
  <si>
    <t>150R</t>
  </si>
  <si>
    <t>RES SMD 150OHM 1/10W 0603</t>
  </si>
  <si>
    <t>R14, R15, R16, R17, R18, R19, R20, R26</t>
  </si>
  <si>
    <t>RC0603FR-07150RL</t>
  </si>
  <si>
    <t>3.01K</t>
  </si>
  <si>
    <t>RES SMD 3.01K OHM 1% 1/10W 0603</t>
  </si>
  <si>
    <t>R21</t>
  </si>
  <si>
    <t>ERJ3EKF3011V</t>
  </si>
  <si>
    <t>11K</t>
  </si>
  <si>
    <t>RES SMD 11K, 1%, 0.1W, 0603</t>
  </si>
  <si>
    <t>R22</t>
  </si>
  <si>
    <t>RC0603FR-0711KL</t>
  </si>
  <si>
    <t>2R2</t>
  </si>
  <si>
    <t>RES SMD 2.2OHM 0603</t>
  </si>
  <si>
    <t>R23</t>
  </si>
  <si>
    <t>ERJ3GEYJ2R2V</t>
  </si>
  <si>
    <t>12.4K</t>
  </si>
  <si>
    <t>RES SMD 12.4K OHM 1% 1/10W 0603</t>
  </si>
  <si>
    <t>R24</t>
  </si>
  <si>
    <t>RC0603FR-0712K4L</t>
  </si>
  <si>
    <t>143R</t>
  </si>
  <si>
    <t>RES SMD 143 OHM 1% 1/10W 0603</t>
  </si>
  <si>
    <t>R25</t>
  </si>
  <si>
    <t>ERJ-3EKF1430V</t>
  </si>
  <si>
    <t>11.8K</t>
  </si>
  <si>
    <t>RES SMD 11.8K OHM 1% 1/10W 0603</t>
  </si>
  <si>
    <t>R27</t>
  </si>
  <si>
    <t>AC0603FR-0711K8L</t>
  </si>
  <si>
    <t>105K</t>
  </si>
  <si>
    <t>RES SMD 105K OHM 1% 1/10W 0603</t>
  </si>
  <si>
    <t>R28</t>
  </si>
  <si>
    <t>RC0603FR-07105KL</t>
  </si>
  <si>
    <t>Solder Bridge</t>
  </si>
  <si>
    <t>Solder Bridge ON</t>
  </si>
  <si>
    <t>SB1</t>
  </si>
  <si>
    <t>Tactile Switch 13mm Actuator</t>
  </si>
  <si>
    <t>Memontary Tactile Push Button Switch 6X6X4.3 / 4.5 / 5/6/7/8/9/10 / 13mm SMD</t>
  </si>
  <si>
    <t>SW1</t>
  </si>
  <si>
    <t>SS-3235D-03-L2</t>
  </si>
  <si>
    <t>SPDT 50mA @ 12VDC 12V On-On SMD Toggle Switches RoHS</t>
  </si>
  <si>
    <t>SW2, SW3</t>
  </si>
  <si>
    <t>SN74LV1T34DBVR</t>
  </si>
  <si>
    <t>IC BUF NON-INVERT 5.5V SOT23-5</t>
  </si>
  <si>
    <t>U1</t>
  </si>
  <si>
    <t>SOT-23-5</t>
  </si>
  <si>
    <t>XL1509-ADJE1</t>
  </si>
  <si>
    <t>40V 2A SOP-8_150mil DC-DC Converters RoHS</t>
  </si>
  <si>
    <t>U2</t>
  </si>
  <si>
    <t>SOP-8</t>
  </si>
  <si>
    <t>LM2940SX-12/NOPB</t>
  </si>
  <si>
    <t>LDO Regulator Pos 12V 1A 4-Pin(3+Tab) TO-263 T/R</t>
  </si>
  <si>
    <t>U3</t>
  </si>
  <si>
    <t>TO-263-3</t>
  </si>
  <si>
    <t>AP2210N-5.0TRG1</t>
  </si>
  <si>
    <t>IC REG LINEAR 5V 300MA SOT23-3</t>
  </si>
  <si>
    <t>U4</t>
  </si>
  <si>
    <t>SOT-23</t>
  </si>
  <si>
    <t>NCP708MU330TAG</t>
  </si>
  <si>
    <t>IC REG LINEAR 3.3V 1A 6UDFN</t>
  </si>
  <si>
    <t>U5</t>
  </si>
  <si>
    <t>6-UDFN (3x3)</t>
  </si>
  <si>
    <t>TMC5160A-TA-T</t>
  </si>
  <si>
    <t>IC MTR DRVR BIPOLAR 8-60V 48TQFP</t>
  </si>
  <si>
    <t>U6</t>
  </si>
  <si>
    <t>48-tqfp-ep (7x7)</t>
  </si>
  <si>
    <t>MAX4236EUT+T</t>
  </si>
  <si>
    <t>IC OPAMP GP 1.7MHZ RRO SOT23-6</t>
  </si>
  <si>
    <t>U7</t>
  </si>
  <si>
    <t>SOT-23-6</t>
  </si>
  <si>
    <t>Bill of Material (BOM) for Cole Benson</t>
  </si>
  <si>
    <t>S. No.</t>
  </si>
  <si>
    <t>Components</t>
  </si>
  <si>
    <t>Footprint (Package)</t>
  </si>
  <si>
    <t>Manufacturer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</si>
  <si>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</si>
  <si>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</si>
  <si>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</si>
  <si>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</si>
  <si>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</si>
  <si>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</si>
  <si>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</si>
  <si>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</si>
  <si>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</si>
  <si>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Capacitor</t>
  </si>
  <si>
    <t>Diode</t>
  </si>
  <si>
    <t>Fuse</t>
  </si>
  <si>
    <t>Mosfet</t>
  </si>
  <si>
    <t>Inductor</t>
  </si>
  <si>
    <t>Resistor</t>
  </si>
  <si>
    <t>Switch</t>
  </si>
  <si>
    <t>Ics</t>
  </si>
  <si>
    <t>Connectors</t>
  </si>
  <si>
    <t>Ever Ohms Tech</t>
  </si>
  <si>
    <t>WSL2512R0330FEA18</t>
  </si>
  <si>
    <t>DigiKey</t>
  </si>
  <si>
    <t>Yageo</t>
  </si>
  <si>
    <t>Panasonic Electronic Components</t>
  </si>
  <si>
    <t>AC0603FR-073K01L</t>
  </si>
  <si>
    <t>RT0603BRE0711K8L</t>
  </si>
  <si>
    <t>Aliexpress</t>
  </si>
  <si>
    <t>Texas Instruments</t>
  </si>
  <si>
    <t>Farnell</t>
  </si>
  <si>
    <t>MOQ=5</t>
  </si>
  <si>
    <t>DIODES INC.</t>
  </si>
  <si>
    <t>ON Semiconductor</t>
  </si>
  <si>
    <t>Maxim Integrated</t>
  </si>
  <si>
    <t>TE Connectivity AMP Connectors</t>
  </si>
  <si>
    <t>Digikey</t>
  </si>
  <si>
    <t>Voltage ratting is changed</t>
  </si>
  <si>
    <t>some paarmeters are different</t>
  </si>
  <si>
    <t>Ymin</t>
  </si>
  <si>
    <t>Samsung</t>
  </si>
  <si>
    <t>TDK</t>
  </si>
  <si>
    <t>Changzhou Huawei Elec</t>
  </si>
  <si>
    <t>Taiyo Yuden</t>
  </si>
  <si>
    <t>Murata</t>
  </si>
  <si>
    <t>Kyocera AVX</t>
  </si>
  <si>
    <t>Vishay Semiconductors</t>
  </si>
  <si>
    <t>Nexperia</t>
  </si>
  <si>
    <t>Worldsemi</t>
  </si>
  <si>
    <t>SunLED</t>
  </si>
  <si>
    <t>Bel</t>
  </si>
  <si>
    <t>Infineon</t>
  </si>
  <si>
    <t/>
  </si>
  <si>
    <t>CC0603ZRY5V9BB104</t>
  </si>
  <si>
    <t>GCM21BC72A105KE36L</t>
  </si>
  <si>
    <t>CL10A474KB8NNNC</t>
  </si>
  <si>
    <t>C2012JB1E226M125AC</t>
  </si>
  <si>
    <t>CL10A225KL8NNNC</t>
  </si>
  <si>
    <t>CL10A475MA8NQNC</t>
  </si>
  <si>
    <t>CC0603KRX7R0BB104</t>
  </si>
  <si>
    <t>CSHD3-40 TR13 PBFREE</t>
  </si>
  <si>
    <t>PMEG3010BER,115</t>
  </si>
  <si>
    <t>Only available on LCSC. Alternate suggested.</t>
  </si>
  <si>
    <t>EMVY630ARA221MKE0S</t>
  </si>
  <si>
    <t>Remarks for senior reviewer</t>
  </si>
  <si>
    <t>Harwin Inc.</t>
  </si>
  <si>
    <t>JST Sales America Inc.</t>
  </si>
  <si>
    <t>available in lot having 10 pieces</t>
  </si>
  <si>
    <t>SparkFun Electronics</t>
  </si>
  <si>
    <t>Würth Elektronik</t>
  </si>
  <si>
    <t>Alibaba</t>
  </si>
  <si>
    <t>EEE-FK1H471AV</t>
  </si>
  <si>
    <t>DigKey</t>
  </si>
  <si>
    <t>Similar package not available</t>
  </si>
  <si>
    <t>EEE-FN1H680XL</t>
  </si>
  <si>
    <t>CAP CER 220nF 35V 0805</t>
  </si>
  <si>
    <t>C26, C27, C28, C31</t>
  </si>
  <si>
    <t>0805</t>
  </si>
  <si>
    <t>GMK212BJ224KGHT</t>
  </si>
  <si>
    <t>C16, C18, C19, C21</t>
  </si>
  <si>
    <t>COM-11821</t>
  </si>
  <si>
    <t>TOTAL:</t>
  </si>
  <si>
    <t>50 per lot available</t>
  </si>
  <si>
    <t>per lot has 10 pcs</t>
  </si>
  <si>
    <t>Cap Ceramic 0.22uF 100V X7R 10% SMD 0805 125°C Embossed T/R</t>
  </si>
  <si>
    <t>08051C224K4T2A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</si>
</sst>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2" fillId="0" borderId="5" applyNumberFormat="0" applyFill="0" applyAlignment="0" applyProtection="0"/>
  </cellStyleXfs>
  <cellXfs count="3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4" fontId="4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9" fillId="4" borderId="1" xfId="0" quotePrefix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44" fontId="9" fillId="4" borderId="1" xfId="0" applyNumberFormat="1" applyFont="1" applyFill="1" applyBorder="1" applyAlignment="1">
      <alignment horizontal="center" vertical="center" wrapText="1"/>
    </xf>
    <xf numFmtId="164" fontId="9" fillId="4" borderId="1" xfId="0" applyNumberFormat="1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center" vertical="center"/>
    </xf>
    <xf numFmtId="0" fontId="2" fillId="0" borderId="5" xfId="2" applyAlignment="1">
      <alignment horizontal="center" vertical="center" wrapText="1"/>
    </xf>
    <xf numFmtId="164" fontId="2" fillId="0" borderId="5" xfId="2" applyNumberFormat="1" applyAlignment="1">
      <alignment horizontal="center" vertical="center" wrapText="1"/>
    </xf>
    <xf numFmtId="44" fontId="2" fillId="0" borderId="5" xfId="2" applyNumberFormat="1" applyAlignment="1">
      <alignment horizontal="center" vertical="center" wrapText="1"/>
    </xf>
    <xf numFmtId="44" fontId="2" fillId="0" borderId="5" xfId="2" applyNumberFormat="1"/>
    <xf numFmtId="0" fontId="6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k.farnell.com/diodes-inc/ap2210n-5-0trg1/ldo-fixed-5v-0-3a-40-to-85deg/dp/3257441?CMP=GRHB-OCTOPART" TargetMode="External"/><Relationship Id="rId18" Type="http://schemas.openxmlformats.org/officeDocument/2006/relationships/hyperlink" Target="https://www.digikey.com/en/products/detail/yageo/CC0603KRX7R9BB681/372861?s=N4IgTCBcDaIMJwAwDZEGYDSAlAGgdiwE4AhY5ADgEYQBdAXyA" TargetMode="External"/><Relationship Id="rId26" Type="http://schemas.openxmlformats.org/officeDocument/2006/relationships/hyperlink" Target="https://www.digikey.com/en/products/detail/samsung-electro-mechanics/CL10A225KL8NNNC/5961210" TargetMode="External"/><Relationship Id="rId39" Type="http://schemas.openxmlformats.org/officeDocument/2006/relationships/hyperlink" Target="https://www.digikey.com/en/products/detail/panasonic-electronic-components/EEE-FK1H471AV/10290362" TargetMode="External"/><Relationship Id="rId21" Type="http://schemas.openxmlformats.org/officeDocument/2006/relationships/hyperlink" Target="https://www.digikey.com/en/products/detail/taiyo-yuden/GMK212BJ224KGHT/4157464?s=N4IgTCBcDaIOIFkDSYCMYBCApMYAsScAEgCogC6AvkA" TargetMode="External"/><Relationship Id="rId34" Type="http://schemas.openxmlformats.org/officeDocument/2006/relationships/hyperlink" Target="https://www.aliexpress.com/item/1005001704151316.html?spm=a2g0o.productlist.0.0.5d521089t7Eaqb&amp;algo_pvid=4f621763-43e3-4d1f-b64d-4469ddb0f288&amp;algo_exp_id=4f621763-43e3-4d1f-b64d-4469ddb0f288-0" TargetMode="External"/><Relationship Id="rId42" Type="http://schemas.openxmlformats.org/officeDocument/2006/relationships/hyperlink" Target="https://www.digikey.com/en/products/detail/nexperia-usa-inc/PMEG3010BER-115/2531799" TargetMode="External"/><Relationship Id="rId47" Type="http://schemas.openxmlformats.org/officeDocument/2006/relationships/hyperlink" Target="https://www.digikey.com/en/products/detail/yageo/RC0603FR-070RL/1304008?s=N4IgTCBcDaIEoGEAMA2JBmAYnAtEg7EnADIgC6AvkA" TargetMode="External"/><Relationship Id="rId50" Type="http://schemas.openxmlformats.org/officeDocument/2006/relationships/hyperlink" Target="https://www.digikey.com/en/products/detail/taiyo-yuden/GMK212BJ224KGHT/4157464?s=N4IgTCBcDaIOIFkDSYCMYBCApMYAsScAEgCogC6AvkA" TargetMode="External"/><Relationship Id="rId7" Type="http://schemas.openxmlformats.org/officeDocument/2006/relationships/hyperlink" Target="https://www.digikey.com/en/products/detail/panasonic-electronic-components/ERJ-3EKF1430V/196128?s=N4IgTCBcDaIKICUBSBaAzHA0gMQIwBY0AGANRAF0BfIA" TargetMode="External"/><Relationship Id="rId2" Type="http://schemas.openxmlformats.org/officeDocument/2006/relationships/hyperlink" Target="https://www.digikey.com/en/products/detail/yageo/RC0603FR-07150RL/726958?s=N4IgTCBcDaIEoGEAMA2JBmAYnAtEg7AIwCsScAMiALoC%2BQA" TargetMode="External"/><Relationship Id="rId16" Type="http://schemas.openxmlformats.org/officeDocument/2006/relationships/hyperlink" Target="https://pl.aliexpress.com/item/32808581845.html?spm=a2g0o.productlist.0.0.716a5f09UqSzQs&amp;algo_pvid=1bf93ed9-7d6a-4bef-afa4-d050a4ddf7b9&amp;algo_exp_id=1bf93ed9-7d6a-4bef-afa4-d050a4ddf7b9-0" TargetMode="External"/><Relationship Id="rId29" Type="http://schemas.openxmlformats.org/officeDocument/2006/relationships/hyperlink" Target="https://www.digikey.com/en/products/detail/avx-corporation/08051C224K4T2A/9948386?s=N4IgTCBcDaIAwA44FYCMBhMYAsBpbAKmAIIgC6AvkA" TargetMode="External"/><Relationship Id="rId11" Type="http://schemas.openxmlformats.org/officeDocument/2006/relationships/hyperlink" Target="https://pl.aliexpress.com/item/4001168115634.html?spm=a2g0o.search0304.0.0.7b1d6afc93ecuo&amp;algo_pvid=df85e322-57b3-478d-ad03-2df726e7b525&amp;algo_expid=df85e322-57b3-478d-ad03-2df726e7b525-1&amp;btsid=0bb0623b16257554164575522ea4e1&amp;ws_ab_test=searchweb0_0,searchweb201602_,searchweb201603_" TargetMode="External"/><Relationship Id="rId24" Type="http://schemas.openxmlformats.org/officeDocument/2006/relationships/hyperlink" Target="https://www.digikey.com/en/products/detail/murata-electronics/GCM21BC72A105KE36L/6606065" TargetMode="External"/><Relationship Id="rId32" Type="http://schemas.openxmlformats.org/officeDocument/2006/relationships/hyperlink" Target="https://www.digikey.com/en/products/detail/united-chemi-con/EMVY630ARA221MKE0S/757149" TargetMode="External"/><Relationship Id="rId37" Type="http://schemas.openxmlformats.org/officeDocument/2006/relationships/hyperlink" Target="https://m.alibaba.com/product/1600268841358/-Slide-switch-SS-3235D-03.html?__detailProductImg=https%3A%2F%2Fs.alicdn.com%2F%40sc04%2Fkf%2FHTB1MD0YMzDpK1RjSZFrq6y78VXaz.jpg_200x200.jpg" TargetMode="External"/><Relationship Id="rId40" Type="http://schemas.openxmlformats.org/officeDocument/2006/relationships/hyperlink" Target="https://www.digikey.com/en/products/detail/panasonic-electronic-components/EEE-FN1H680XL/12459670" TargetMode="External"/><Relationship Id="rId45" Type="http://schemas.openxmlformats.org/officeDocument/2006/relationships/hyperlink" Target="https://www.digikey.com/en/products/detail/infineon-technologies/BSC072N08NS5ATMA1/5959908?s=N4IgTCBcDaIEIGUDCAGA7GAcigHJhArAIIAqAskQIwgC6AvkA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https://www.digikey.com/en/products/detail/panasonic-electronic-components/ERJ-3GEYJ2R2V/282119?s=N4IgTCBcDaIKICUBSBmA4nAmksCwDUQBdAXyA" TargetMode="External"/><Relationship Id="rId10" Type="http://schemas.openxmlformats.org/officeDocument/2006/relationships/hyperlink" Target="https://www.digikey.com/en/products/detail/texas-instruments/SN74LV1T34DBVR/4555575" TargetMode="External"/><Relationship Id="rId19" Type="http://schemas.openxmlformats.org/officeDocument/2006/relationships/hyperlink" Target="https://www.digikey.com/en/products/detail/yageo/CC0603KRX5R8BB105/2833610?s=N4IgTCBcDaIMJwAwDZEGYDSAlAGgViwA4AhYgRkTxAF0BfIA" TargetMode="External"/><Relationship Id="rId31" Type="http://schemas.openxmlformats.org/officeDocument/2006/relationships/hyperlink" Target="https://www.digikey.com/en/products/detail/tdk-corporation/C2012JB1E226M125AC/3948711" TargetMode="External"/><Relationship Id="rId44" Type="http://schemas.openxmlformats.org/officeDocument/2006/relationships/hyperlink" Target="https://www.digikey.com/en/products/detail/tdk-corporation/SPM10054T-680M-HZ/8637491?s=N4IgTCBcDaIMoAUCyBGADGgrAFgCoFoA2ADjSXwAkAtEAXQF8g" TargetMode="External"/><Relationship Id="rId52" Type="http://schemas.openxmlformats.org/officeDocument/2006/relationships/hyperlink" Target="https://www.aliexpress.com/item/1005002824489337.html?spm=a2g0o.search0304.0.0.6a786872zrYtzx&amp;aem_p4p_detail=20210709080314396911621568870006263664" TargetMode="External"/><Relationship Id="rId4" Type="http://schemas.openxmlformats.org/officeDocument/2006/relationships/hyperlink" Target="https://www.digikey.com/en/products/detail/yageo/RC0603FR-0711KL/726897?s=N4IgTCBcDaIEoGEAMA2JBmAYnAtEg7AIyEDSAMiALoC%2BQA" TargetMode="External"/><Relationship Id="rId9" Type="http://schemas.openxmlformats.org/officeDocument/2006/relationships/hyperlink" Target="https://www.digikey.com/en/products/detail/yageo/RC0603FR-07105KL/726893?s=N4IgTCBcDaIEoGEAMA2JBmAYnAtEg7AIxICsA0gDIgC6AvkA" TargetMode="External"/><Relationship Id="rId14" Type="http://schemas.openxmlformats.org/officeDocument/2006/relationships/hyperlink" Target="https://www.digikey.com/en/products/detail/on-semiconductor/NCP708MU330TAG/5404559?s=N4IgTCBcDaIHIGEAKB2ADADgLIFUDMeaAKgIIDiIAugL5A" TargetMode="External"/><Relationship Id="rId22" Type="http://schemas.openxmlformats.org/officeDocument/2006/relationships/hyperlink" Target="https://www.digikey.com/en/products/detail/yageo/RC0603FR-0710K5L/726885?s=N4IgTCBcDaIEoGEAMA2JBmAYnAtEg7AIxIDSArADIgC6AvkA" TargetMode="External"/><Relationship Id="rId27" Type="http://schemas.openxmlformats.org/officeDocument/2006/relationships/hyperlink" Target="https://www.digikey.com/en/products/detail/samsung-electro-mechanics/CL10A475MA8NQNC/3887561" TargetMode="External"/><Relationship Id="rId30" Type="http://schemas.openxmlformats.org/officeDocument/2006/relationships/hyperlink" Target="https://www.digikey.com/en/products/detail/samsung-electro-mechanics/CL10A474KB8NNNC/3887554" TargetMode="External"/><Relationship Id="rId35" Type="http://schemas.openxmlformats.org/officeDocument/2006/relationships/hyperlink" Target="https://www.digikey.in/product-detail/en/sparkfun-electronics/PRT-10474/1568-1816-ND/8258064" TargetMode="External"/><Relationship Id="rId43" Type="http://schemas.openxmlformats.org/officeDocument/2006/relationships/hyperlink" Target="https://www.digikey.com/en/products/detail/sunled/XZVG68W-2/4745975?s=N4IgTCBcDaIBoC0BqBxAbADgOoFoIF0BfIA" TargetMode="External"/><Relationship Id="rId48" Type="http://schemas.openxmlformats.org/officeDocument/2006/relationships/hyperlink" Target="https://www.digikey.com/en/products/detail/yageo/RC0603FR-0710K5L/726885?s=N4IgTCBcDaIEoGEAMA2JBmAYnAtEg7AIxIDSArADIgC6AvkA" TargetMode="External"/><Relationship Id="rId8" Type="http://schemas.openxmlformats.org/officeDocument/2006/relationships/hyperlink" Target="https://www.digikey.com/en/products/detail/yageo/RT0603BRE0711K8L/1072722" TargetMode="External"/><Relationship Id="rId51" Type="http://schemas.openxmlformats.org/officeDocument/2006/relationships/hyperlink" Target="https://www.digikey.com/en/products/detail/sparkfun-electronics/COM-11821/6163706?s=N4IgjCBcoLQBxVAYygMwIYBsDOBTANCAPZQDa4ArAGwIC6AvvYQExkgDCA8gLIxhhxmEBkA" TargetMode="External"/><Relationship Id="rId3" Type="http://schemas.openxmlformats.org/officeDocument/2006/relationships/hyperlink" Target="https://www.digikey.com/en/products/detail/yageo/AC0603FR-073K01L/5896080" TargetMode="External"/><Relationship Id="rId12" Type="http://schemas.openxmlformats.org/officeDocument/2006/relationships/hyperlink" Target="https://www.digikey.com/en/products/detail/texas-instruments/LM2940SX-12-NOPB/366989?s=N4IgTCBcDaIDIFkwE4AsAGAygDQLQEYwB6AOQHkAFAIRAF0BfIA" TargetMode="External"/><Relationship Id="rId17" Type="http://schemas.openxmlformats.org/officeDocument/2006/relationships/hyperlink" Target="https://www.digikey.com/en/products/detail/te-connectivity-amp-connectors/5520425-2/769558" TargetMode="External"/><Relationship Id="rId25" Type="http://schemas.openxmlformats.org/officeDocument/2006/relationships/hyperlink" Target="https://www.digikey.com/en/products/detail/samsung-electro-mechanics/CL10A474KB8NNNC/3887554" TargetMode="External"/><Relationship Id="rId33" Type="http://schemas.openxmlformats.org/officeDocument/2006/relationships/hyperlink" Target="https://www.digikey.com/en/products/detail/harwin-inc/M55-7012042R/8537597" TargetMode="External"/><Relationship Id="rId38" Type="http://schemas.openxmlformats.org/officeDocument/2006/relationships/hyperlink" Target="https://www.digikey.com/en/products/detail/yageo/RC0603FR-0747RL/727252?s=N4IgTCBcDaIEoGEAMA2JBmAYnAtEg7ACz5wAyIAugL5A" TargetMode="External"/><Relationship Id="rId46" Type="http://schemas.openxmlformats.org/officeDocument/2006/relationships/hyperlink" Target="https://www.digikey.com/en/products/detail/yageo/RC0603JR-075K1L/726796?s=N4IgTCBcDaIEoGEAMA2JBmAUnAtEg7AKwDSAjADIgC6AvkA" TargetMode="External"/><Relationship Id="rId20" Type="http://schemas.openxmlformats.org/officeDocument/2006/relationships/hyperlink" Target="https://www.digikey.com/en/products/detail/tdk-corporation/CGA3E2X7R2A223K080AA/2443292?s=N4IgTCBcDaIMIHECCBmAomAGgdgEpiTDBQGkAGADjKSRAF0BfIA" TargetMode="External"/><Relationship Id="rId41" Type="http://schemas.openxmlformats.org/officeDocument/2006/relationships/hyperlink" Target="https://www.digikey.com/en/products/detail/central-semiconductor-corp/CSHD3-40-TR13-PBFREE/5324400" TargetMode="External"/><Relationship Id="rId1" Type="http://schemas.openxmlformats.org/officeDocument/2006/relationships/hyperlink" Target="https://www.digikey.com/en/products/detail/vishay-dale/WSL2512R0330FEA18/2695064" TargetMode="External"/><Relationship Id="rId6" Type="http://schemas.openxmlformats.org/officeDocument/2006/relationships/hyperlink" Target="https://www.digikey.com/en/products/detail/yageo/RC0603FR-0712K4L/726917?s=N4IgTCBcDaIEoGEAMA2JBmAYnAtEg7AIxgDSALADIgC6AvkA" TargetMode="External"/><Relationship Id="rId15" Type="http://schemas.openxmlformats.org/officeDocument/2006/relationships/hyperlink" Target="https://www.digikey.com/en/products/detail/maxim-integrated/MAX4236EUT-T/1702786" TargetMode="External"/><Relationship Id="rId23" Type="http://schemas.openxmlformats.org/officeDocument/2006/relationships/hyperlink" Target="https://www.digikey.com/en/products/detail/yageo/CC0603ZRY5V9BB104/2103081" TargetMode="External"/><Relationship Id="rId28" Type="http://schemas.openxmlformats.org/officeDocument/2006/relationships/hyperlink" Target="https://www.digikey.com/en/products/detail/yageo/CC0603KRX7R0BB104/3476111" TargetMode="External"/><Relationship Id="rId36" Type="http://schemas.openxmlformats.org/officeDocument/2006/relationships/hyperlink" Target="https://www.digikey.com/en/products/detail/w%C3%BCrth-elektronik/61300211121/4846823" TargetMode="External"/><Relationship Id="rId49" Type="http://schemas.openxmlformats.org/officeDocument/2006/relationships/hyperlink" Target="https://www.aliexpress.com/item/1005001718409831.html?spm=a2g0o.productlist.0.0.63bd232cKbNahq&amp;algo_pvid=9db6234d-a4bb-4e8d-bff0-be338184df5d&amp;algo_exp_id=9db6234d-a4bb-4e8d-bff0-be338184df5d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topLeftCell="A2" workbookViewId="0">
      <selection activeCell="B43" sqref="B43:B49"/>
    </sheetView>
  </sheetViews>
  <sheetFormatPr defaultRowHeight="15" x14ac:dyDescent="0.25"/>
  <cols>
    <col min="1" max="1" width="6.140625" bestFit="1" customWidth="1"/>
    <col min="2" max="2" width="12.28515625" bestFit="1" customWidth="1"/>
    <col min="3" max="3" width="46.28515625" customWidth="1"/>
    <col min="4" max="4" width="14.42578125" customWidth="1"/>
    <col min="5" max="5" width="22.7109375" bestFit="1" customWidth="1"/>
    <col min="6" max="7" width="28.5703125" bestFit="1" customWidth="1"/>
    <col min="8" max="8" width="28.140625" customWidth="1"/>
    <col min="9" max="9" width="16.42578125" customWidth="1"/>
    <col min="10" max="10" width="19.42578125" bestFit="1" customWidth="1"/>
    <col min="11" max="11" width="18" customWidth="1"/>
    <col min="12" max="12" width="16.140625" customWidth="1"/>
    <col min="13" max="13" width="15.140625" customWidth="1"/>
    <col min="14" max="14" width="16" customWidth="1"/>
    <col min="15" max="15" width="19.5703125" customWidth="1"/>
    <col min="16" max="16" width="17.85546875" customWidth="1"/>
    <col min="17" max="17" width="30.85546875" customWidth="1"/>
  </cols>
  <sheetData>
    <row r="1" spans="1:17" ht="15.75" x14ac:dyDescent="0.25">
      <c r="A1" s="31" t="s">
        <v>206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3"/>
    </row>
    <row r="2" spans="1:17" x14ac:dyDescent="0.25">
      <c r="A2" s="7" t="s">
        <v>207</v>
      </c>
      <c r="B2" s="7" t="s">
        <v>208</v>
      </c>
      <c r="C2" s="7" t="s">
        <v>0</v>
      </c>
      <c r="D2" s="7" t="s">
        <v>1</v>
      </c>
      <c r="E2" s="7" t="s">
        <v>209</v>
      </c>
      <c r="F2" s="7" t="s">
        <v>2</v>
      </c>
      <c r="G2" s="7" t="s">
        <v>210</v>
      </c>
      <c r="H2" s="7" t="s">
        <v>211</v>
      </c>
      <c r="I2" s="7" t="s">
        <v>212</v>
      </c>
      <c r="J2" s="7" t="s">
        <v>213</v>
      </c>
      <c r="K2" s="7" t="s">
        <v>214</v>
      </c>
      <c r="L2" s="7" t="s">
        <v>215</v>
      </c>
      <c r="M2" s="7" t="s">
        <v>216</v>
      </c>
      <c r="N2" s="7" t="s">
        <v>217</v>
      </c>
      <c r="O2" s="8" t="s">
        <v>218</v>
      </c>
      <c r="P2" s="7" t="s">
        <v>219</v>
      </c>
      <c r="Q2" s="7" t="s">
        <v>272</v>
      </c>
    </row>
    <row r="3" spans="1:17" ht="38.25" x14ac:dyDescent="0.25">
      <c r="A3" s="9">
        <v>1</v>
      </c>
      <c r="B3" s="34" t="s">
        <v>220</v>
      </c>
      <c r="C3" s="10" t="s">
        <v>4</v>
      </c>
      <c r="D3" s="10" t="s">
        <v>5</v>
      </c>
      <c r="E3" s="10" t="s">
        <v>6</v>
      </c>
      <c r="F3" s="10" t="s">
        <v>6</v>
      </c>
      <c r="G3" s="10" t="s">
        <v>247</v>
      </c>
      <c r="H3" s="22" t="s">
        <v>271</v>
      </c>
      <c r="I3" s="10" t="s">
        <v>3</v>
      </c>
      <c r="J3" s="11">
        <v>2</v>
      </c>
      <c r="K3" s="6">
        <f>J3*5</f>
        <v>10</v>
      </c>
      <c r="L3" s="12" t="s">
        <v>231</v>
      </c>
      <c r="M3" s="13">
        <v>1.58</v>
      </c>
      <c r="N3" s="14">
        <f t="shared" ref="N3:N57" si="0">M3*J3</f>
        <v>3.16</v>
      </c>
      <c r="O3" s="13">
        <v>1.2450000000000001</v>
      </c>
      <c r="P3" s="14">
        <f>O3*K3</f>
        <v>12.450000000000001</v>
      </c>
      <c r="Q3" s="6" t="s">
        <v>270</v>
      </c>
    </row>
    <row r="4" spans="1:17" ht="38.25" x14ac:dyDescent="0.25">
      <c r="A4" s="9">
        <f>A3+1</f>
        <v>2</v>
      </c>
      <c r="B4" s="35"/>
      <c r="C4" s="10" t="s">
        <v>8</v>
      </c>
      <c r="D4" s="10" t="s">
        <v>9</v>
      </c>
      <c r="E4" s="10" t="s">
        <v>10</v>
      </c>
      <c r="F4" s="10" t="s">
        <v>11</v>
      </c>
      <c r="G4" s="10" t="s">
        <v>248</v>
      </c>
      <c r="H4" s="23" t="s">
        <v>261</v>
      </c>
      <c r="I4" s="10" t="s">
        <v>7</v>
      </c>
      <c r="J4" s="11">
        <v>8</v>
      </c>
      <c r="K4" s="6">
        <f t="shared" ref="K4:K57" si="1">J4*5</f>
        <v>40</v>
      </c>
      <c r="L4" s="12" t="s">
        <v>244</v>
      </c>
      <c r="M4" s="13">
        <v>0.1</v>
      </c>
      <c r="N4" s="14">
        <f t="shared" si="0"/>
        <v>0.8</v>
      </c>
      <c r="O4" s="13">
        <v>4.8000000000000001E-2</v>
      </c>
      <c r="P4" s="14">
        <f t="shared" ref="P4:P54" si="2">O4*K4</f>
        <v>1.92</v>
      </c>
      <c r="Q4" s="6"/>
    </row>
    <row r="5" spans="1:17" x14ac:dyDescent="0.25">
      <c r="A5" s="9">
        <f t="shared" ref="A5:A56" si="3">A4+1</f>
        <v>3</v>
      </c>
      <c r="B5" s="35"/>
      <c r="C5" s="10" t="s">
        <v>13</v>
      </c>
      <c r="D5" s="10" t="s">
        <v>14</v>
      </c>
      <c r="E5" s="10" t="s">
        <v>15</v>
      </c>
      <c r="F5" s="10" t="s">
        <v>16</v>
      </c>
      <c r="G5" s="10" t="s">
        <v>249</v>
      </c>
      <c r="H5" s="23" t="s">
        <v>262</v>
      </c>
      <c r="I5" s="10" t="s">
        <v>12</v>
      </c>
      <c r="J5" s="11">
        <v>1</v>
      </c>
      <c r="K5" s="6">
        <f t="shared" si="1"/>
        <v>5</v>
      </c>
      <c r="L5" s="12" t="s">
        <v>244</v>
      </c>
      <c r="M5" s="13">
        <v>0.48</v>
      </c>
      <c r="N5" s="14">
        <f t="shared" si="0"/>
        <v>0.48</v>
      </c>
      <c r="O5" s="13">
        <v>0.48</v>
      </c>
      <c r="P5" s="14">
        <f t="shared" si="2"/>
        <v>2.4</v>
      </c>
      <c r="Q5" s="6"/>
    </row>
    <row r="6" spans="1:17" ht="38.25" x14ac:dyDescent="0.25">
      <c r="A6" s="9">
        <f t="shared" si="3"/>
        <v>4</v>
      </c>
      <c r="B6" s="35"/>
      <c r="C6" s="10" t="s">
        <v>18</v>
      </c>
      <c r="D6" s="10" t="s">
        <v>19</v>
      </c>
      <c r="E6" s="10" t="s">
        <v>20</v>
      </c>
      <c r="F6" s="10" t="s">
        <v>20</v>
      </c>
      <c r="G6" s="10" t="s">
        <v>250</v>
      </c>
      <c r="H6" s="22" t="s">
        <v>279</v>
      </c>
      <c r="I6" s="10" t="s">
        <v>17</v>
      </c>
      <c r="J6" s="11">
        <v>1</v>
      </c>
      <c r="K6" s="6">
        <f t="shared" si="1"/>
        <v>5</v>
      </c>
      <c r="L6" s="12" t="s">
        <v>280</v>
      </c>
      <c r="M6" s="13">
        <v>2.77</v>
      </c>
      <c r="N6" s="14">
        <f>M6*J6</f>
        <v>2.77</v>
      </c>
      <c r="O6" s="13">
        <v>2.77</v>
      </c>
      <c r="P6" s="14">
        <f t="shared" si="2"/>
        <v>13.85</v>
      </c>
      <c r="Q6" s="6" t="s">
        <v>281</v>
      </c>
    </row>
    <row r="7" spans="1:17" ht="25.5" x14ac:dyDescent="0.25">
      <c r="A7" s="9">
        <f t="shared" si="3"/>
        <v>5</v>
      </c>
      <c r="B7" s="35"/>
      <c r="C7" s="10" t="s">
        <v>22</v>
      </c>
      <c r="D7" s="10" t="s">
        <v>23</v>
      </c>
      <c r="E7" s="10" t="s">
        <v>24</v>
      </c>
      <c r="F7" s="10" t="s">
        <v>24</v>
      </c>
      <c r="G7" s="10" t="s">
        <v>247</v>
      </c>
      <c r="H7" s="22" t="s">
        <v>282</v>
      </c>
      <c r="I7" s="10" t="s">
        <v>21</v>
      </c>
      <c r="J7" s="11">
        <v>1</v>
      </c>
      <c r="K7" s="6">
        <f t="shared" si="1"/>
        <v>5</v>
      </c>
      <c r="L7" s="12" t="s">
        <v>231</v>
      </c>
      <c r="M7" s="13">
        <v>0.76</v>
      </c>
      <c r="N7" s="14">
        <f t="shared" ref="N7:N54" si="4">M7*J7</f>
        <v>0.76</v>
      </c>
      <c r="O7" s="13">
        <v>0.76</v>
      </c>
      <c r="P7" s="14">
        <f t="shared" si="2"/>
        <v>3.8</v>
      </c>
      <c r="Q7" s="6" t="s">
        <v>281</v>
      </c>
    </row>
    <row r="8" spans="1:17" x14ac:dyDescent="0.25">
      <c r="A8" s="9">
        <f t="shared" si="3"/>
        <v>6</v>
      </c>
      <c r="B8" s="35"/>
      <c r="C8" s="10" t="s">
        <v>26</v>
      </c>
      <c r="D8" s="10" t="s">
        <v>27</v>
      </c>
      <c r="E8" s="10" t="s">
        <v>10</v>
      </c>
      <c r="F8" s="10" t="s">
        <v>28</v>
      </c>
      <c r="G8" s="10" t="s">
        <v>232</v>
      </c>
      <c r="H8" s="22" t="s">
        <v>260</v>
      </c>
      <c r="I8" s="10" t="s">
        <v>25</v>
      </c>
      <c r="J8" s="11">
        <v>1</v>
      </c>
      <c r="K8" s="6">
        <f t="shared" si="1"/>
        <v>5</v>
      </c>
      <c r="L8" s="12" t="s">
        <v>244</v>
      </c>
      <c r="M8" s="13">
        <v>0.1</v>
      </c>
      <c r="N8" s="14">
        <f t="shared" si="4"/>
        <v>0.1</v>
      </c>
      <c r="O8" s="13">
        <v>0.1</v>
      </c>
      <c r="P8" s="14">
        <f t="shared" si="2"/>
        <v>0.5</v>
      </c>
      <c r="Q8" s="6"/>
    </row>
    <row r="9" spans="1:17" x14ac:dyDescent="0.25">
      <c r="A9" s="9">
        <f t="shared" si="3"/>
        <v>7</v>
      </c>
      <c r="B9" s="35"/>
      <c r="C9" s="10" t="s">
        <v>30</v>
      </c>
      <c r="D9" s="10" t="s">
        <v>31</v>
      </c>
      <c r="E9" s="10" t="s">
        <v>32</v>
      </c>
      <c r="F9" s="10" t="s">
        <v>33</v>
      </c>
      <c r="G9" s="10" t="s">
        <v>251</v>
      </c>
      <c r="H9" s="23" t="s">
        <v>263</v>
      </c>
      <c r="I9" s="10" t="s">
        <v>29</v>
      </c>
      <c r="J9" s="11">
        <v>1</v>
      </c>
      <c r="K9" s="6">
        <f t="shared" si="1"/>
        <v>5</v>
      </c>
      <c r="L9" s="12" t="s">
        <v>244</v>
      </c>
      <c r="M9" s="13">
        <v>0.27</v>
      </c>
      <c r="N9" s="14">
        <f t="shared" si="4"/>
        <v>0.27</v>
      </c>
      <c r="O9" s="13">
        <v>0.27</v>
      </c>
      <c r="P9" s="14">
        <f t="shared" si="2"/>
        <v>1.35</v>
      </c>
      <c r="Q9" s="6"/>
    </row>
    <row r="10" spans="1:17" ht="25.5" x14ac:dyDescent="0.25">
      <c r="A10" s="9">
        <f t="shared" si="3"/>
        <v>8</v>
      </c>
      <c r="B10" s="35"/>
      <c r="C10" s="10" t="s">
        <v>35</v>
      </c>
      <c r="D10" s="10" t="s">
        <v>36</v>
      </c>
      <c r="E10" s="10" t="s">
        <v>15</v>
      </c>
      <c r="F10" s="10" t="s">
        <v>37</v>
      </c>
      <c r="G10" s="10" t="s">
        <v>249</v>
      </c>
      <c r="H10" s="23" t="s">
        <v>264</v>
      </c>
      <c r="I10" s="10" t="s">
        <v>34</v>
      </c>
      <c r="J10" s="11">
        <v>1</v>
      </c>
      <c r="K10" s="6">
        <f t="shared" si="1"/>
        <v>5</v>
      </c>
      <c r="L10" s="12" t="s">
        <v>244</v>
      </c>
      <c r="M10" s="13">
        <v>3.1</v>
      </c>
      <c r="N10" s="14">
        <f t="shared" si="4"/>
        <v>3.1</v>
      </c>
      <c r="O10" s="13">
        <v>3.1</v>
      </c>
      <c r="P10" s="14">
        <f t="shared" si="2"/>
        <v>15.5</v>
      </c>
      <c r="Q10" s="6" t="s">
        <v>245</v>
      </c>
    </row>
    <row r="11" spans="1:17" ht="25.5" x14ac:dyDescent="0.25">
      <c r="A11" s="9">
        <f t="shared" si="3"/>
        <v>9</v>
      </c>
      <c r="B11" s="35"/>
      <c r="C11" s="10" t="s">
        <v>38</v>
      </c>
      <c r="D11" s="10" t="s">
        <v>39</v>
      </c>
      <c r="E11" s="10" t="s">
        <v>32</v>
      </c>
      <c r="F11" s="10" t="s">
        <v>40</v>
      </c>
      <c r="G11" s="10" t="s">
        <v>232</v>
      </c>
      <c r="H11" s="22" t="s">
        <v>260</v>
      </c>
      <c r="I11" s="10" t="s">
        <v>12</v>
      </c>
      <c r="J11" s="11">
        <v>1</v>
      </c>
      <c r="K11" s="6">
        <f t="shared" si="1"/>
        <v>5</v>
      </c>
      <c r="L11" s="12" t="s">
        <v>244</v>
      </c>
      <c r="M11" s="13">
        <v>0.12</v>
      </c>
      <c r="N11" s="14">
        <f t="shared" si="4"/>
        <v>0.12</v>
      </c>
      <c r="O11" s="13">
        <v>0.12</v>
      </c>
      <c r="P11" s="14">
        <f t="shared" si="2"/>
        <v>0.6</v>
      </c>
      <c r="Q11" s="6"/>
    </row>
    <row r="12" spans="1:17" ht="25.5" x14ac:dyDescent="0.25">
      <c r="A12" s="9">
        <f t="shared" si="3"/>
        <v>10</v>
      </c>
      <c r="B12" s="35"/>
      <c r="C12" s="10" t="s">
        <v>42</v>
      </c>
      <c r="D12" s="10" t="s">
        <v>43</v>
      </c>
      <c r="E12" s="10" t="s">
        <v>32</v>
      </c>
      <c r="F12" s="10" t="s">
        <v>44</v>
      </c>
      <c r="G12" s="10" t="s">
        <v>252</v>
      </c>
      <c r="H12" s="23" t="s">
        <v>265</v>
      </c>
      <c r="I12" s="10" t="s">
        <v>41</v>
      </c>
      <c r="J12" s="11">
        <v>5</v>
      </c>
      <c r="K12" s="6">
        <f t="shared" si="1"/>
        <v>25</v>
      </c>
      <c r="L12" s="12" t="s">
        <v>244</v>
      </c>
      <c r="M12" s="13">
        <v>0.21</v>
      </c>
      <c r="N12" s="14">
        <f t="shared" si="4"/>
        <v>1.05</v>
      </c>
      <c r="O12" s="13">
        <v>0.14299999999999999</v>
      </c>
      <c r="P12" s="14">
        <f t="shared" si="2"/>
        <v>3.5749999999999997</v>
      </c>
      <c r="Q12" s="6"/>
    </row>
    <row r="13" spans="1:17" x14ac:dyDescent="0.25">
      <c r="A13" s="9">
        <f t="shared" si="3"/>
        <v>11</v>
      </c>
      <c r="B13" s="35"/>
      <c r="C13" s="10" t="s">
        <v>46</v>
      </c>
      <c r="D13" s="10" t="s">
        <v>47</v>
      </c>
      <c r="E13" s="10" t="s">
        <v>10</v>
      </c>
      <c r="F13" s="10" t="s">
        <v>48</v>
      </c>
      <c r="G13" s="10" t="s">
        <v>248</v>
      </c>
      <c r="H13" s="23" t="s">
        <v>266</v>
      </c>
      <c r="I13" s="10" t="s">
        <v>45</v>
      </c>
      <c r="J13" s="11">
        <v>2</v>
      </c>
      <c r="K13" s="6">
        <f t="shared" si="1"/>
        <v>10</v>
      </c>
      <c r="L13" s="12" t="s">
        <v>244</v>
      </c>
      <c r="M13" s="13">
        <v>0.31</v>
      </c>
      <c r="N13" s="14">
        <f t="shared" si="4"/>
        <v>0.62</v>
      </c>
      <c r="O13" s="13">
        <v>0.14299999999999999</v>
      </c>
      <c r="P13" s="14">
        <f t="shared" si="2"/>
        <v>1.43</v>
      </c>
      <c r="Q13" s="6"/>
    </row>
    <row r="14" spans="1:17" x14ac:dyDescent="0.25">
      <c r="A14" s="9">
        <f t="shared" si="3"/>
        <v>12</v>
      </c>
      <c r="B14" s="35"/>
      <c r="C14" s="10" t="s">
        <v>49</v>
      </c>
      <c r="D14" s="10" t="s">
        <v>50</v>
      </c>
      <c r="E14" s="10" t="s">
        <v>32</v>
      </c>
      <c r="F14" s="10" t="s">
        <v>51</v>
      </c>
      <c r="G14" s="10" t="s">
        <v>248</v>
      </c>
      <c r="H14" s="24" t="s">
        <v>267</v>
      </c>
      <c r="I14" s="10" t="s">
        <v>7</v>
      </c>
      <c r="J14" s="11">
        <v>2</v>
      </c>
      <c r="K14" s="6">
        <f t="shared" si="1"/>
        <v>10</v>
      </c>
      <c r="L14" s="12" t="s">
        <v>244</v>
      </c>
      <c r="M14" s="13">
        <v>0.19</v>
      </c>
      <c r="N14" s="14">
        <f t="shared" si="4"/>
        <v>0.38</v>
      </c>
      <c r="O14" s="13">
        <v>0.13500000000000001</v>
      </c>
      <c r="P14" s="14">
        <f t="shared" si="2"/>
        <v>1.35</v>
      </c>
      <c r="Q14" s="6"/>
    </row>
    <row r="15" spans="1:17" ht="25.5" x14ac:dyDescent="0.25">
      <c r="A15" s="9">
        <f t="shared" si="3"/>
        <v>13</v>
      </c>
      <c r="B15" s="35"/>
      <c r="C15" s="10" t="s">
        <v>292</v>
      </c>
      <c r="D15" s="10" t="s">
        <v>287</v>
      </c>
      <c r="E15" s="10" t="s">
        <v>15</v>
      </c>
      <c r="F15" s="10" t="s">
        <v>293</v>
      </c>
      <c r="G15" s="10" t="s">
        <v>253</v>
      </c>
      <c r="H15" s="22" t="s">
        <v>260</v>
      </c>
      <c r="I15" s="10" t="s">
        <v>52</v>
      </c>
      <c r="J15" s="11">
        <v>4</v>
      </c>
      <c r="K15" s="6">
        <f t="shared" si="1"/>
        <v>20</v>
      </c>
      <c r="L15" s="12" t="s">
        <v>244</v>
      </c>
      <c r="M15" s="13">
        <v>0.27</v>
      </c>
      <c r="N15" s="14">
        <f t="shared" si="4"/>
        <v>1.08</v>
      </c>
      <c r="O15" s="13">
        <v>0.185</v>
      </c>
      <c r="P15" s="14">
        <f t="shared" si="2"/>
        <v>3.7</v>
      </c>
      <c r="Q15" s="15"/>
    </row>
    <row r="16" spans="1:17" x14ac:dyDescent="0.25">
      <c r="A16" s="9">
        <f t="shared" si="3"/>
        <v>14</v>
      </c>
      <c r="B16" s="35"/>
      <c r="C16" s="3" t="s">
        <v>283</v>
      </c>
      <c r="D16" s="3" t="s">
        <v>284</v>
      </c>
      <c r="E16" s="3" t="s">
        <v>285</v>
      </c>
      <c r="F16" s="3" t="s">
        <v>286</v>
      </c>
      <c r="G16" s="3" t="s">
        <v>251</v>
      </c>
      <c r="H16" s="25" t="s">
        <v>260</v>
      </c>
      <c r="I16" s="3" t="s">
        <v>52</v>
      </c>
      <c r="J16" s="4">
        <v>4</v>
      </c>
      <c r="K16" s="1">
        <f t="shared" si="1"/>
        <v>20</v>
      </c>
      <c r="L16" s="2" t="s">
        <v>244</v>
      </c>
      <c r="M16" s="5">
        <v>0.21</v>
      </c>
      <c r="N16" s="14">
        <f t="shared" si="4"/>
        <v>0.84</v>
      </c>
      <c r="O16" s="5">
        <v>0.14899999999999999</v>
      </c>
      <c r="P16" s="14">
        <f t="shared" si="2"/>
        <v>2.98</v>
      </c>
      <c r="Q16" s="6"/>
    </row>
    <row r="17" spans="1:17" x14ac:dyDescent="0.25">
      <c r="A17" s="9">
        <f t="shared" si="3"/>
        <v>15</v>
      </c>
      <c r="B17" s="35"/>
      <c r="C17" s="10" t="s">
        <v>54</v>
      </c>
      <c r="D17" s="10" t="s">
        <v>55</v>
      </c>
      <c r="E17" s="10" t="s">
        <v>32</v>
      </c>
      <c r="F17" s="10" t="s">
        <v>56</v>
      </c>
      <c r="G17" s="10" t="s">
        <v>249</v>
      </c>
      <c r="H17" s="22" t="s">
        <v>260</v>
      </c>
      <c r="I17" s="10" t="s">
        <v>53</v>
      </c>
      <c r="J17" s="11">
        <v>1</v>
      </c>
      <c r="K17" s="6">
        <f t="shared" si="1"/>
        <v>5</v>
      </c>
      <c r="L17" s="12" t="s">
        <v>244</v>
      </c>
      <c r="M17" s="13">
        <v>0.11</v>
      </c>
      <c r="N17" s="14">
        <f t="shared" si="4"/>
        <v>0.11</v>
      </c>
      <c r="O17" s="13">
        <v>0.11</v>
      </c>
      <c r="P17" s="14">
        <f t="shared" si="2"/>
        <v>0.55000000000000004</v>
      </c>
      <c r="Q17" s="6"/>
    </row>
    <row r="18" spans="1:17" x14ac:dyDescent="0.25">
      <c r="A18" s="9">
        <f t="shared" si="3"/>
        <v>16</v>
      </c>
      <c r="B18" s="35"/>
      <c r="C18" s="10" t="s">
        <v>30</v>
      </c>
      <c r="D18" s="10" t="s">
        <v>58</v>
      </c>
      <c r="E18" s="10" t="s">
        <v>32</v>
      </c>
      <c r="F18" s="10" t="s">
        <v>33</v>
      </c>
      <c r="G18" s="10" t="s">
        <v>251</v>
      </c>
      <c r="H18" s="22" t="s">
        <v>260</v>
      </c>
      <c r="I18" s="10" t="s">
        <v>57</v>
      </c>
      <c r="J18" s="11">
        <v>1</v>
      </c>
      <c r="K18" s="6">
        <f t="shared" si="1"/>
        <v>5</v>
      </c>
      <c r="L18" s="12" t="s">
        <v>244</v>
      </c>
      <c r="M18" s="13">
        <v>0.21</v>
      </c>
      <c r="N18" s="14">
        <f t="shared" si="4"/>
        <v>0.21</v>
      </c>
      <c r="O18" s="13">
        <v>0.14899999999999999</v>
      </c>
      <c r="P18" s="14">
        <f t="shared" si="2"/>
        <v>0.745</v>
      </c>
      <c r="Q18" s="15"/>
    </row>
    <row r="19" spans="1:17" ht="25.5" x14ac:dyDescent="0.25">
      <c r="A19" s="9">
        <f t="shared" si="3"/>
        <v>17</v>
      </c>
      <c r="B19" s="36"/>
      <c r="C19" s="10" t="s">
        <v>60</v>
      </c>
      <c r="D19" s="10" t="s">
        <v>61</v>
      </c>
      <c r="E19" s="10" t="s">
        <v>62</v>
      </c>
      <c r="F19" s="10" t="s">
        <v>63</v>
      </c>
      <c r="G19" s="10" t="s">
        <v>251</v>
      </c>
      <c r="H19" s="24" t="s">
        <v>263</v>
      </c>
      <c r="I19" s="10" t="s">
        <v>59</v>
      </c>
      <c r="J19" s="11">
        <v>4</v>
      </c>
      <c r="K19" s="6">
        <f t="shared" si="1"/>
        <v>20</v>
      </c>
      <c r="L19" s="12" t="s">
        <v>244</v>
      </c>
      <c r="M19" s="13">
        <v>0.27</v>
      </c>
      <c r="N19" s="14">
        <f t="shared" si="4"/>
        <v>1.08</v>
      </c>
      <c r="O19" s="13">
        <v>0.27</v>
      </c>
      <c r="P19" s="14">
        <f t="shared" si="2"/>
        <v>5.4</v>
      </c>
      <c r="Q19" s="6"/>
    </row>
    <row r="20" spans="1:17" ht="25.5" x14ac:dyDescent="0.25">
      <c r="A20" s="9">
        <f t="shared" si="3"/>
        <v>18</v>
      </c>
      <c r="B20" s="34" t="s">
        <v>221</v>
      </c>
      <c r="C20" s="10" t="s">
        <v>65</v>
      </c>
      <c r="D20" s="10" t="s">
        <v>66</v>
      </c>
      <c r="E20" s="10" t="s">
        <v>64</v>
      </c>
      <c r="F20" s="10" t="s">
        <v>64</v>
      </c>
      <c r="G20" s="10" t="s">
        <v>248</v>
      </c>
      <c r="H20" s="24" t="s">
        <v>268</v>
      </c>
      <c r="I20" s="10" t="s">
        <v>64</v>
      </c>
      <c r="J20" s="11">
        <v>1</v>
      </c>
      <c r="K20" s="6">
        <f t="shared" si="1"/>
        <v>5</v>
      </c>
      <c r="L20" s="2" t="s">
        <v>244</v>
      </c>
      <c r="M20" s="5">
        <v>0.75</v>
      </c>
      <c r="N20" s="14">
        <f t="shared" si="4"/>
        <v>0.75</v>
      </c>
      <c r="O20" s="5">
        <v>0.75</v>
      </c>
      <c r="P20" s="14">
        <f t="shared" si="2"/>
        <v>3.75</v>
      </c>
      <c r="Q20" s="15" t="s">
        <v>246</v>
      </c>
    </row>
    <row r="21" spans="1:17" ht="25.5" x14ac:dyDescent="0.25">
      <c r="A21" s="9">
        <f t="shared" si="3"/>
        <v>19</v>
      </c>
      <c r="B21" s="35"/>
      <c r="C21" s="10" t="s">
        <v>68</v>
      </c>
      <c r="D21" s="10" t="s">
        <v>69</v>
      </c>
      <c r="E21" s="10" t="s">
        <v>70</v>
      </c>
      <c r="F21" s="10" t="s">
        <v>67</v>
      </c>
      <c r="G21" s="10" t="s">
        <v>254</v>
      </c>
      <c r="H21" s="24" t="s">
        <v>269</v>
      </c>
      <c r="I21" s="10" t="s">
        <v>67</v>
      </c>
      <c r="J21" s="11">
        <v>8</v>
      </c>
      <c r="K21" s="6">
        <f t="shared" si="1"/>
        <v>40</v>
      </c>
      <c r="L21" s="2" t="s">
        <v>244</v>
      </c>
      <c r="M21" s="5">
        <v>0.42</v>
      </c>
      <c r="N21" s="14">
        <f t="shared" si="4"/>
        <v>3.36</v>
      </c>
      <c r="O21" s="5">
        <v>0.313</v>
      </c>
      <c r="P21" s="14">
        <f t="shared" si="2"/>
        <v>12.52</v>
      </c>
      <c r="Q21" s="15" t="s">
        <v>246</v>
      </c>
    </row>
    <row r="22" spans="1:17" x14ac:dyDescent="0.25">
      <c r="A22" s="9">
        <f t="shared" si="3"/>
        <v>20</v>
      </c>
      <c r="B22" s="35"/>
      <c r="C22" s="10" t="s">
        <v>90</v>
      </c>
      <c r="D22" s="10" t="s">
        <v>91</v>
      </c>
      <c r="E22" s="10" t="s">
        <v>89</v>
      </c>
      <c r="F22" s="10" t="s">
        <v>89</v>
      </c>
      <c r="G22" s="10" t="s">
        <v>255</v>
      </c>
      <c r="H22" s="24" t="s">
        <v>288</v>
      </c>
      <c r="I22" s="10" t="s">
        <v>89</v>
      </c>
      <c r="J22" s="11">
        <v>1</v>
      </c>
      <c r="K22" s="6">
        <f t="shared" si="1"/>
        <v>5</v>
      </c>
      <c r="L22" s="12" t="s">
        <v>231</v>
      </c>
      <c r="M22" s="13">
        <v>0.5</v>
      </c>
      <c r="N22" s="14">
        <f t="shared" si="4"/>
        <v>0.5</v>
      </c>
      <c r="O22" s="13">
        <v>0.5</v>
      </c>
      <c r="P22" s="14">
        <f t="shared" si="2"/>
        <v>2.5</v>
      </c>
      <c r="Q22" s="6"/>
    </row>
    <row r="23" spans="1:17" x14ac:dyDescent="0.25">
      <c r="A23" s="9">
        <f t="shared" si="3"/>
        <v>21</v>
      </c>
      <c r="B23" s="36"/>
      <c r="C23" s="10" t="s">
        <v>93</v>
      </c>
      <c r="D23" s="10" t="s">
        <v>94</v>
      </c>
      <c r="E23" s="10" t="s">
        <v>95</v>
      </c>
      <c r="F23" s="10" t="s">
        <v>92</v>
      </c>
      <c r="G23" s="10" t="s">
        <v>256</v>
      </c>
      <c r="H23" s="10" t="s">
        <v>260</v>
      </c>
      <c r="I23" s="10" t="s">
        <v>92</v>
      </c>
      <c r="J23" s="11">
        <v>1</v>
      </c>
      <c r="K23" s="6">
        <f t="shared" si="1"/>
        <v>5</v>
      </c>
      <c r="L23" s="2" t="s">
        <v>244</v>
      </c>
      <c r="M23" s="5">
        <v>0.37</v>
      </c>
      <c r="N23" s="14">
        <f t="shared" si="4"/>
        <v>0.37</v>
      </c>
      <c r="O23" s="5">
        <v>0.37</v>
      </c>
      <c r="P23" s="14">
        <f t="shared" si="2"/>
        <v>1.85</v>
      </c>
      <c r="Q23" s="15"/>
    </row>
    <row r="24" spans="1:17" x14ac:dyDescent="0.25">
      <c r="A24" s="9">
        <f t="shared" si="3"/>
        <v>22</v>
      </c>
      <c r="B24" s="9" t="s">
        <v>222</v>
      </c>
      <c r="C24" s="10" t="s">
        <v>72</v>
      </c>
      <c r="D24" s="10" t="s">
        <v>73</v>
      </c>
      <c r="E24" s="10" t="s">
        <v>71</v>
      </c>
      <c r="F24" s="10" t="s">
        <v>71</v>
      </c>
      <c r="G24" s="10" t="s">
        <v>257</v>
      </c>
      <c r="H24" s="10" t="s">
        <v>260</v>
      </c>
      <c r="I24" s="10" t="s">
        <v>71</v>
      </c>
      <c r="J24" s="11">
        <v>1</v>
      </c>
      <c r="K24" s="6">
        <f t="shared" si="1"/>
        <v>5</v>
      </c>
      <c r="L24" s="1"/>
      <c r="M24" s="5"/>
      <c r="N24" s="14">
        <f t="shared" si="4"/>
        <v>0</v>
      </c>
      <c r="O24" s="5"/>
      <c r="P24" s="14">
        <f t="shared" si="2"/>
        <v>0</v>
      </c>
      <c r="Q24" s="6"/>
    </row>
    <row r="25" spans="1:17" ht="25.5" x14ac:dyDescent="0.25">
      <c r="A25" s="9">
        <f t="shared" si="3"/>
        <v>23</v>
      </c>
      <c r="B25" s="9" t="s">
        <v>224</v>
      </c>
      <c r="C25" s="10" t="s">
        <v>87</v>
      </c>
      <c r="D25" s="10" t="s">
        <v>88</v>
      </c>
      <c r="E25" s="10" t="s">
        <v>86</v>
      </c>
      <c r="F25" s="10" t="s">
        <v>86</v>
      </c>
      <c r="G25" s="10" t="s">
        <v>258</v>
      </c>
      <c r="H25" s="10" t="s">
        <v>260</v>
      </c>
      <c r="I25" s="10" t="s">
        <v>86</v>
      </c>
      <c r="J25" s="11">
        <v>1</v>
      </c>
      <c r="K25" s="6">
        <f t="shared" si="1"/>
        <v>5</v>
      </c>
      <c r="L25" s="2" t="s">
        <v>244</v>
      </c>
      <c r="M25" s="5">
        <v>2.75</v>
      </c>
      <c r="N25" s="14">
        <f t="shared" si="4"/>
        <v>2.75</v>
      </c>
      <c r="O25" s="5">
        <v>2.75</v>
      </c>
      <c r="P25" s="14">
        <f t="shared" si="2"/>
        <v>13.75</v>
      </c>
      <c r="Q25" s="6"/>
    </row>
    <row r="26" spans="1:17" ht="25.5" x14ac:dyDescent="0.25">
      <c r="A26" s="9">
        <f t="shared" si="3"/>
        <v>24</v>
      </c>
      <c r="B26" s="9" t="s">
        <v>223</v>
      </c>
      <c r="C26" s="10" t="s">
        <v>109</v>
      </c>
      <c r="D26" s="10" t="s">
        <v>110</v>
      </c>
      <c r="E26" s="10" t="s">
        <v>111</v>
      </c>
      <c r="F26" s="10" t="s">
        <v>108</v>
      </c>
      <c r="G26" s="10" t="s">
        <v>249</v>
      </c>
      <c r="H26" s="10" t="s">
        <v>260</v>
      </c>
      <c r="I26" s="10" t="s">
        <v>108</v>
      </c>
      <c r="J26" s="11">
        <v>8</v>
      </c>
      <c r="K26" s="6">
        <f t="shared" si="1"/>
        <v>40</v>
      </c>
      <c r="L26" s="2" t="s">
        <v>244</v>
      </c>
      <c r="M26" s="5">
        <v>1.92</v>
      </c>
      <c r="N26" s="14">
        <f t="shared" si="4"/>
        <v>15.36</v>
      </c>
      <c r="O26" s="5">
        <v>1.6332</v>
      </c>
      <c r="P26" s="14">
        <f t="shared" si="2"/>
        <v>65.328000000000003</v>
      </c>
      <c r="Q26" s="6"/>
    </row>
    <row r="27" spans="1:17" x14ac:dyDescent="0.25">
      <c r="A27" s="9">
        <f t="shared" si="3"/>
        <v>25</v>
      </c>
      <c r="B27" s="34" t="s">
        <v>225</v>
      </c>
      <c r="C27" s="10" t="s">
        <v>113</v>
      </c>
      <c r="D27" s="10" t="s">
        <v>114</v>
      </c>
      <c r="E27" s="10" t="s">
        <v>62</v>
      </c>
      <c r="F27" s="10" t="s">
        <v>115</v>
      </c>
      <c r="G27" s="10" t="s">
        <v>259</v>
      </c>
      <c r="H27" s="10" t="s">
        <v>260</v>
      </c>
      <c r="I27" s="10" t="s">
        <v>112</v>
      </c>
      <c r="J27" s="11">
        <v>2</v>
      </c>
      <c r="K27" s="6">
        <f t="shared" si="1"/>
        <v>10</v>
      </c>
      <c r="L27" s="2" t="s">
        <v>244</v>
      </c>
      <c r="M27" s="5">
        <v>0.1</v>
      </c>
      <c r="N27" s="14">
        <f t="shared" si="4"/>
        <v>0.2</v>
      </c>
      <c r="O27" s="5">
        <v>0.02</v>
      </c>
      <c r="P27" s="14">
        <f t="shared" si="2"/>
        <v>0.2</v>
      </c>
      <c r="Q27" s="6"/>
    </row>
    <row r="28" spans="1:17" x14ac:dyDescent="0.25">
      <c r="A28" s="9">
        <f t="shared" si="3"/>
        <v>26</v>
      </c>
      <c r="B28" s="35"/>
      <c r="C28" s="10" t="s">
        <v>117</v>
      </c>
      <c r="D28" s="10" t="s">
        <v>118</v>
      </c>
      <c r="E28" s="10" t="s">
        <v>62</v>
      </c>
      <c r="F28" s="10" t="s">
        <v>119</v>
      </c>
      <c r="G28" s="10" t="s">
        <v>232</v>
      </c>
      <c r="H28" s="10" t="s">
        <v>260</v>
      </c>
      <c r="I28" s="10" t="s">
        <v>116</v>
      </c>
      <c r="J28" s="11">
        <v>2</v>
      </c>
      <c r="K28" s="6">
        <f t="shared" si="1"/>
        <v>10</v>
      </c>
      <c r="L28" s="2" t="s">
        <v>244</v>
      </c>
      <c r="M28" s="5">
        <v>0.1</v>
      </c>
      <c r="N28" s="14">
        <f t="shared" si="4"/>
        <v>0.2</v>
      </c>
      <c r="O28" s="5">
        <v>1.7999999999999999E-2</v>
      </c>
      <c r="P28" s="14">
        <f t="shared" si="2"/>
        <v>0.18</v>
      </c>
      <c r="Q28" s="6"/>
    </row>
    <row r="29" spans="1:17" x14ac:dyDescent="0.25">
      <c r="A29" s="9">
        <f t="shared" si="3"/>
        <v>27</v>
      </c>
      <c r="B29" s="35"/>
      <c r="C29" s="10" t="s">
        <v>121</v>
      </c>
      <c r="D29" s="10" t="s">
        <v>122</v>
      </c>
      <c r="E29" s="10" t="s">
        <v>62</v>
      </c>
      <c r="F29" s="10" t="s">
        <v>123</v>
      </c>
      <c r="G29" s="10" t="s">
        <v>232</v>
      </c>
      <c r="H29" s="10" t="s">
        <v>260</v>
      </c>
      <c r="I29" s="10" t="s">
        <v>120</v>
      </c>
      <c r="J29" s="11">
        <v>1</v>
      </c>
      <c r="K29" s="6">
        <f t="shared" si="1"/>
        <v>5</v>
      </c>
      <c r="L29" s="2" t="s">
        <v>244</v>
      </c>
      <c r="M29" s="5">
        <v>0.1</v>
      </c>
      <c r="N29" s="14">
        <f t="shared" si="4"/>
        <v>0.1</v>
      </c>
      <c r="O29" s="5">
        <v>0.1</v>
      </c>
      <c r="P29" s="14">
        <f t="shared" si="2"/>
        <v>0.5</v>
      </c>
      <c r="Q29" s="6"/>
    </row>
    <row r="30" spans="1:17" x14ac:dyDescent="0.25">
      <c r="A30" s="9">
        <f t="shared" si="3"/>
        <v>28</v>
      </c>
      <c r="B30" s="35"/>
      <c r="C30" s="10" t="s">
        <v>125</v>
      </c>
      <c r="D30" s="10" t="s">
        <v>126</v>
      </c>
      <c r="E30" s="10" t="s">
        <v>62</v>
      </c>
      <c r="F30" s="10" t="s">
        <v>127</v>
      </c>
      <c r="G30" s="10" t="s">
        <v>232</v>
      </c>
      <c r="H30" s="10" t="s">
        <v>260</v>
      </c>
      <c r="I30" s="10" t="s">
        <v>124</v>
      </c>
      <c r="J30" s="11">
        <v>1</v>
      </c>
      <c r="K30" s="6">
        <f t="shared" si="1"/>
        <v>5</v>
      </c>
      <c r="L30" s="12" t="s">
        <v>244</v>
      </c>
      <c r="M30" s="13">
        <v>0.1</v>
      </c>
      <c r="N30" s="14">
        <f t="shared" si="4"/>
        <v>0.1</v>
      </c>
      <c r="O30" s="13">
        <v>0.1</v>
      </c>
      <c r="P30" s="14">
        <f t="shared" si="2"/>
        <v>0.5</v>
      </c>
      <c r="Q30" s="6"/>
    </row>
    <row r="31" spans="1:17" x14ac:dyDescent="0.25">
      <c r="A31" s="9">
        <f t="shared" si="3"/>
        <v>29</v>
      </c>
      <c r="B31" s="35"/>
      <c r="C31" s="10" t="s">
        <v>129</v>
      </c>
      <c r="D31" s="10" t="s">
        <v>130</v>
      </c>
      <c r="E31" s="10" t="s">
        <v>62</v>
      </c>
      <c r="F31" s="10" t="s">
        <v>131</v>
      </c>
      <c r="G31" s="6"/>
      <c r="H31" s="6"/>
      <c r="I31" s="10" t="s">
        <v>128</v>
      </c>
      <c r="J31" s="11">
        <v>4</v>
      </c>
      <c r="K31" s="6">
        <f t="shared" si="1"/>
        <v>20</v>
      </c>
      <c r="L31" s="17" t="s">
        <v>231</v>
      </c>
      <c r="M31" s="13">
        <v>0.1</v>
      </c>
      <c r="N31" s="14">
        <f t="shared" si="4"/>
        <v>0.4</v>
      </c>
      <c r="O31" s="13">
        <v>2.4E-2</v>
      </c>
      <c r="P31" s="14">
        <f t="shared" si="2"/>
        <v>0.48</v>
      </c>
      <c r="Q31" s="6"/>
    </row>
    <row r="32" spans="1:17" ht="25.5" x14ac:dyDescent="0.25">
      <c r="A32" s="9">
        <f t="shared" si="3"/>
        <v>30</v>
      </c>
      <c r="B32" s="35"/>
      <c r="C32" s="10" t="s">
        <v>133</v>
      </c>
      <c r="D32" s="10" t="s">
        <v>134</v>
      </c>
      <c r="E32" s="10" t="s">
        <v>135</v>
      </c>
      <c r="F32" s="10" t="s">
        <v>136</v>
      </c>
      <c r="G32" s="6" t="s">
        <v>229</v>
      </c>
      <c r="H32" s="6" t="s">
        <v>230</v>
      </c>
      <c r="I32" s="10" t="s">
        <v>132</v>
      </c>
      <c r="J32" s="11">
        <v>4</v>
      </c>
      <c r="K32" s="6">
        <f t="shared" si="1"/>
        <v>20</v>
      </c>
      <c r="L32" s="12" t="s">
        <v>231</v>
      </c>
      <c r="M32" s="13">
        <v>1.28</v>
      </c>
      <c r="N32" s="14">
        <f t="shared" si="4"/>
        <v>5.12</v>
      </c>
      <c r="O32" s="13">
        <v>1.135</v>
      </c>
      <c r="P32" s="14">
        <f t="shared" si="2"/>
        <v>22.7</v>
      </c>
      <c r="Q32" s="6"/>
    </row>
    <row r="33" spans="1:17" ht="38.25" x14ac:dyDescent="0.25">
      <c r="A33" s="9">
        <f t="shared" si="3"/>
        <v>31</v>
      </c>
      <c r="B33" s="35"/>
      <c r="C33" s="10" t="s">
        <v>138</v>
      </c>
      <c r="D33" s="10" t="s">
        <v>139</v>
      </c>
      <c r="E33" s="10" t="s">
        <v>62</v>
      </c>
      <c r="F33" s="10" t="s">
        <v>140</v>
      </c>
      <c r="G33" s="6" t="s">
        <v>232</v>
      </c>
      <c r="H33" s="6"/>
      <c r="I33" s="10" t="s">
        <v>137</v>
      </c>
      <c r="J33" s="11">
        <v>8</v>
      </c>
      <c r="K33" s="6">
        <f t="shared" si="1"/>
        <v>40</v>
      </c>
      <c r="L33" s="12" t="s">
        <v>231</v>
      </c>
      <c r="M33" s="13">
        <v>0.1</v>
      </c>
      <c r="N33" s="14">
        <f t="shared" si="4"/>
        <v>0.8</v>
      </c>
      <c r="O33" s="13">
        <v>2.4E-2</v>
      </c>
      <c r="P33" s="14">
        <f t="shared" si="2"/>
        <v>0.96</v>
      </c>
      <c r="Q33" s="6"/>
    </row>
    <row r="34" spans="1:17" x14ac:dyDescent="0.25">
      <c r="A34" s="9">
        <f t="shared" si="3"/>
        <v>32</v>
      </c>
      <c r="B34" s="35"/>
      <c r="C34" s="10" t="s">
        <v>142</v>
      </c>
      <c r="D34" s="10" t="s">
        <v>143</v>
      </c>
      <c r="E34" s="10" t="s">
        <v>62</v>
      </c>
      <c r="F34" s="10" t="s">
        <v>144</v>
      </c>
      <c r="G34" s="6" t="s">
        <v>233</v>
      </c>
      <c r="H34" s="6" t="s">
        <v>234</v>
      </c>
      <c r="I34" s="10" t="s">
        <v>141</v>
      </c>
      <c r="J34" s="11">
        <v>1</v>
      </c>
      <c r="K34" s="6">
        <f t="shared" si="1"/>
        <v>5</v>
      </c>
      <c r="L34" s="12" t="s">
        <v>231</v>
      </c>
      <c r="M34" s="13">
        <v>0.1</v>
      </c>
      <c r="N34" s="14">
        <f t="shared" si="4"/>
        <v>0.1</v>
      </c>
      <c r="O34" s="13">
        <v>0.1</v>
      </c>
      <c r="P34" s="14">
        <f t="shared" si="2"/>
        <v>0.5</v>
      </c>
      <c r="Q34" s="6"/>
    </row>
    <row r="35" spans="1:17" x14ac:dyDescent="0.25">
      <c r="A35" s="9">
        <f t="shared" si="3"/>
        <v>33</v>
      </c>
      <c r="B35" s="35"/>
      <c r="C35" s="10" t="s">
        <v>146</v>
      </c>
      <c r="D35" s="10" t="s">
        <v>147</v>
      </c>
      <c r="E35" s="10" t="s">
        <v>62</v>
      </c>
      <c r="F35" s="10" t="s">
        <v>148</v>
      </c>
      <c r="G35" s="6" t="s">
        <v>232</v>
      </c>
      <c r="H35" s="6"/>
      <c r="I35" s="10" t="s">
        <v>145</v>
      </c>
      <c r="J35" s="11">
        <v>1</v>
      </c>
      <c r="K35" s="6">
        <f t="shared" si="1"/>
        <v>5</v>
      </c>
      <c r="L35" s="12" t="s">
        <v>231</v>
      </c>
      <c r="M35" s="13">
        <v>0.1</v>
      </c>
      <c r="N35" s="14">
        <f t="shared" si="4"/>
        <v>0.1</v>
      </c>
      <c r="O35" s="13">
        <v>0.1</v>
      </c>
      <c r="P35" s="14">
        <f t="shared" si="2"/>
        <v>0.5</v>
      </c>
      <c r="Q35" s="6"/>
    </row>
    <row r="36" spans="1:17" x14ac:dyDescent="0.25">
      <c r="A36" s="9">
        <f t="shared" si="3"/>
        <v>34</v>
      </c>
      <c r="B36" s="35"/>
      <c r="C36" s="10" t="s">
        <v>150</v>
      </c>
      <c r="D36" s="10" t="s">
        <v>151</v>
      </c>
      <c r="E36" s="10" t="s">
        <v>62</v>
      </c>
      <c r="F36" s="10" t="s">
        <v>152</v>
      </c>
      <c r="G36" s="6" t="s">
        <v>233</v>
      </c>
      <c r="H36" s="6"/>
      <c r="I36" s="10" t="s">
        <v>149</v>
      </c>
      <c r="J36" s="11">
        <v>1</v>
      </c>
      <c r="K36" s="6">
        <f t="shared" si="1"/>
        <v>5</v>
      </c>
      <c r="L36" s="12" t="s">
        <v>231</v>
      </c>
      <c r="M36" s="13">
        <v>0.1</v>
      </c>
      <c r="N36" s="14">
        <f t="shared" si="4"/>
        <v>0.1</v>
      </c>
      <c r="O36" s="13">
        <v>0.1</v>
      </c>
      <c r="P36" s="14">
        <f t="shared" si="2"/>
        <v>0.5</v>
      </c>
      <c r="Q36" s="6"/>
    </row>
    <row r="37" spans="1:17" x14ac:dyDescent="0.25">
      <c r="A37" s="9">
        <f t="shared" si="3"/>
        <v>35</v>
      </c>
      <c r="B37" s="35"/>
      <c r="C37" s="10" t="s">
        <v>154</v>
      </c>
      <c r="D37" s="10" t="s">
        <v>155</v>
      </c>
      <c r="E37" s="10" t="s">
        <v>62</v>
      </c>
      <c r="F37" s="10" t="s">
        <v>156</v>
      </c>
      <c r="G37" s="6" t="s">
        <v>232</v>
      </c>
      <c r="H37" s="6"/>
      <c r="I37" s="10" t="s">
        <v>153</v>
      </c>
      <c r="J37" s="11">
        <v>1</v>
      </c>
      <c r="K37" s="6">
        <f t="shared" si="1"/>
        <v>5</v>
      </c>
      <c r="L37" s="12" t="s">
        <v>231</v>
      </c>
      <c r="M37" s="13">
        <v>0.1</v>
      </c>
      <c r="N37" s="14">
        <f t="shared" si="4"/>
        <v>0.1</v>
      </c>
      <c r="O37" s="13">
        <v>0.1</v>
      </c>
      <c r="P37" s="14">
        <f t="shared" si="2"/>
        <v>0.5</v>
      </c>
      <c r="Q37" s="6"/>
    </row>
    <row r="38" spans="1:17" x14ac:dyDescent="0.25">
      <c r="A38" s="9">
        <f t="shared" si="3"/>
        <v>36</v>
      </c>
      <c r="B38" s="35"/>
      <c r="C38" s="10" t="s">
        <v>158</v>
      </c>
      <c r="D38" s="10" t="s">
        <v>159</v>
      </c>
      <c r="E38" s="10" t="s">
        <v>62</v>
      </c>
      <c r="F38" s="10" t="s">
        <v>160</v>
      </c>
      <c r="G38" s="6" t="s">
        <v>233</v>
      </c>
      <c r="H38" s="6"/>
      <c r="I38" s="10" t="s">
        <v>157</v>
      </c>
      <c r="J38" s="11">
        <v>1</v>
      </c>
      <c r="K38" s="6">
        <f t="shared" si="1"/>
        <v>5</v>
      </c>
      <c r="L38" s="12" t="s">
        <v>231</v>
      </c>
      <c r="M38" s="13">
        <v>0.1</v>
      </c>
      <c r="N38" s="14">
        <f t="shared" si="4"/>
        <v>0.1</v>
      </c>
      <c r="O38" s="13">
        <v>0.1</v>
      </c>
      <c r="P38" s="14">
        <f t="shared" si="2"/>
        <v>0.5</v>
      </c>
      <c r="Q38" s="6"/>
    </row>
    <row r="39" spans="1:17" x14ac:dyDescent="0.25">
      <c r="A39" s="9">
        <f t="shared" si="3"/>
        <v>37</v>
      </c>
      <c r="B39" s="35"/>
      <c r="C39" s="10" t="s">
        <v>162</v>
      </c>
      <c r="D39" s="10" t="s">
        <v>163</v>
      </c>
      <c r="E39" s="10" t="s">
        <v>62</v>
      </c>
      <c r="F39" s="10" t="s">
        <v>164</v>
      </c>
      <c r="G39" s="6" t="s">
        <v>232</v>
      </c>
      <c r="H39" s="6" t="s">
        <v>235</v>
      </c>
      <c r="I39" s="10" t="s">
        <v>161</v>
      </c>
      <c r="J39" s="11">
        <v>1</v>
      </c>
      <c r="K39" s="6">
        <f t="shared" si="1"/>
        <v>5</v>
      </c>
      <c r="L39" s="12" t="s">
        <v>231</v>
      </c>
      <c r="M39" s="13">
        <v>0.38</v>
      </c>
      <c r="N39" s="14">
        <f t="shared" si="4"/>
        <v>0.38</v>
      </c>
      <c r="O39" s="13">
        <v>0.38</v>
      </c>
      <c r="P39" s="14">
        <f t="shared" si="2"/>
        <v>1.9</v>
      </c>
      <c r="Q39" s="6"/>
    </row>
    <row r="40" spans="1:17" x14ac:dyDescent="0.25">
      <c r="A40" s="9">
        <f t="shared" si="3"/>
        <v>38</v>
      </c>
      <c r="B40" s="36"/>
      <c r="C40" s="10" t="s">
        <v>166</v>
      </c>
      <c r="D40" s="10" t="s">
        <v>167</v>
      </c>
      <c r="E40" s="10" t="s">
        <v>62</v>
      </c>
      <c r="F40" s="10" t="s">
        <v>168</v>
      </c>
      <c r="G40" s="6" t="s">
        <v>232</v>
      </c>
      <c r="H40" s="6"/>
      <c r="I40" s="10" t="s">
        <v>165</v>
      </c>
      <c r="J40" s="11">
        <v>1</v>
      </c>
      <c r="K40" s="6">
        <f t="shared" si="1"/>
        <v>5</v>
      </c>
      <c r="L40" s="12" t="s">
        <v>231</v>
      </c>
      <c r="M40" s="13">
        <v>0.1</v>
      </c>
      <c r="N40" s="14">
        <f t="shared" si="4"/>
        <v>0.1</v>
      </c>
      <c r="O40" s="13">
        <v>0.1</v>
      </c>
      <c r="P40" s="14">
        <f t="shared" si="2"/>
        <v>0.5</v>
      </c>
      <c r="Q40" s="6"/>
    </row>
    <row r="41" spans="1:17" ht="25.5" x14ac:dyDescent="0.25">
      <c r="A41" s="9">
        <f t="shared" si="3"/>
        <v>39</v>
      </c>
      <c r="B41" s="34" t="s">
        <v>226</v>
      </c>
      <c r="C41" s="10" t="s">
        <v>173</v>
      </c>
      <c r="D41" s="10" t="s">
        <v>174</v>
      </c>
      <c r="E41" s="10" t="s">
        <v>172</v>
      </c>
      <c r="F41" s="10" t="s">
        <v>172</v>
      </c>
      <c r="G41" s="6"/>
      <c r="H41" s="6"/>
      <c r="I41" s="10" t="s">
        <v>172</v>
      </c>
      <c r="J41" s="11">
        <v>1</v>
      </c>
      <c r="K41" s="6">
        <f t="shared" si="1"/>
        <v>5</v>
      </c>
      <c r="L41" s="12" t="s">
        <v>236</v>
      </c>
      <c r="M41" s="13">
        <v>3.5999999999999997E-2</v>
      </c>
      <c r="N41" s="14">
        <f t="shared" si="4"/>
        <v>3.5999999999999997E-2</v>
      </c>
      <c r="O41" s="13">
        <v>1.8</v>
      </c>
      <c r="P41" s="14">
        <v>1.8</v>
      </c>
      <c r="Q41" s="6" t="s">
        <v>290</v>
      </c>
    </row>
    <row r="42" spans="1:17" ht="25.5" x14ac:dyDescent="0.25">
      <c r="A42" s="9">
        <f t="shared" si="3"/>
        <v>40</v>
      </c>
      <c r="B42" s="36"/>
      <c r="C42" s="10" t="s">
        <v>176</v>
      </c>
      <c r="D42" s="10" t="s">
        <v>177</v>
      </c>
      <c r="E42" s="10" t="s">
        <v>175</v>
      </c>
      <c r="F42" s="10" t="s">
        <v>175</v>
      </c>
      <c r="G42" s="6"/>
      <c r="H42" s="6"/>
      <c r="I42" s="10" t="s">
        <v>175</v>
      </c>
      <c r="J42" s="11">
        <v>2</v>
      </c>
      <c r="K42" s="6">
        <f t="shared" si="1"/>
        <v>10</v>
      </c>
      <c r="L42" s="17" t="s">
        <v>278</v>
      </c>
      <c r="M42" s="13">
        <v>0.34</v>
      </c>
      <c r="N42" s="14">
        <f t="shared" si="4"/>
        <v>0.68</v>
      </c>
      <c r="O42" s="13">
        <v>0.26</v>
      </c>
      <c r="P42" s="14">
        <f t="shared" si="2"/>
        <v>2.6</v>
      </c>
      <c r="Q42" s="6"/>
    </row>
    <row r="43" spans="1:17" x14ac:dyDescent="0.25">
      <c r="A43" s="9">
        <f t="shared" si="3"/>
        <v>41</v>
      </c>
      <c r="B43" s="34" t="s">
        <v>227</v>
      </c>
      <c r="C43" s="10" t="s">
        <v>179</v>
      </c>
      <c r="D43" s="10" t="s">
        <v>180</v>
      </c>
      <c r="E43" s="10" t="s">
        <v>181</v>
      </c>
      <c r="F43" s="10" t="s">
        <v>178</v>
      </c>
      <c r="G43" s="6" t="s">
        <v>178</v>
      </c>
      <c r="H43" s="6"/>
      <c r="I43" s="10" t="s">
        <v>178</v>
      </c>
      <c r="J43" s="11">
        <v>1</v>
      </c>
      <c r="K43" s="6">
        <f t="shared" si="1"/>
        <v>5</v>
      </c>
      <c r="L43" s="12" t="s">
        <v>231</v>
      </c>
      <c r="M43" s="13">
        <v>0.47</v>
      </c>
      <c r="N43" s="14">
        <f t="shared" si="4"/>
        <v>0.47</v>
      </c>
      <c r="O43" s="13">
        <v>0.47</v>
      </c>
      <c r="P43" s="14">
        <f t="shared" si="2"/>
        <v>2.3499999999999996</v>
      </c>
    </row>
    <row r="44" spans="1:17" x14ac:dyDescent="0.25">
      <c r="A44" s="9">
        <f t="shared" si="3"/>
        <v>42</v>
      </c>
      <c r="B44" s="35"/>
      <c r="C44" s="10" t="s">
        <v>183</v>
      </c>
      <c r="D44" s="10" t="s">
        <v>184</v>
      </c>
      <c r="E44" s="10" t="s">
        <v>185</v>
      </c>
      <c r="F44" s="10" t="s">
        <v>182</v>
      </c>
      <c r="G44" s="6"/>
      <c r="H44" s="6"/>
      <c r="I44" s="10" t="s">
        <v>182</v>
      </c>
      <c r="J44" s="11">
        <v>1</v>
      </c>
      <c r="K44" s="6">
        <f t="shared" si="1"/>
        <v>5</v>
      </c>
      <c r="L44" s="12" t="s">
        <v>236</v>
      </c>
      <c r="M44" s="13">
        <v>0.19600000000000001</v>
      </c>
      <c r="N44" s="14">
        <f t="shared" si="4"/>
        <v>0.19600000000000001</v>
      </c>
      <c r="O44" s="13">
        <v>1.96</v>
      </c>
      <c r="P44" s="14">
        <v>1.96</v>
      </c>
      <c r="Q44" s="6" t="s">
        <v>291</v>
      </c>
    </row>
    <row r="45" spans="1:17" ht="25.5" x14ac:dyDescent="0.25">
      <c r="A45" s="9">
        <f t="shared" si="3"/>
        <v>43</v>
      </c>
      <c r="B45" s="35"/>
      <c r="C45" s="10" t="s">
        <v>187</v>
      </c>
      <c r="D45" s="10" t="s">
        <v>188</v>
      </c>
      <c r="E45" s="10" t="s">
        <v>189</v>
      </c>
      <c r="F45" s="10" t="s">
        <v>186</v>
      </c>
      <c r="G45" s="6" t="s">
        <v>237</v>
      </c>
      <c r="H45" s="6"/>
      <c r="I45" s="10" t="s">
        <v>186</v>
      </c>
      <c r="J45" s="11">
        <v>1</v>
      </c>
      <c r="K45" s="6">
        <f t="shared" si="1"/>
        <v>5</v>
      </c>
      <c r="L45" s="12" t="s">
        <v>231</v>
      </c>
      <c r="M45" s="13">
        <v>0.44800000000000001</v>
      </c>
      <c r="N45" s="14">
        <f t="shared" si="4"/>
        <v>0.44800000000000001</v>
      </c>
      <c r="O45" s="13">
        <v>2.21</v>
      </c>
      <c r="P45" s="14">
        <f t="shared" si="2"/>
        <v>11.05</v>
      </c>
      <c r="Q45" s="6" t="s">
        <v>239</v>
      </c>
    </row>
    <row r="46" spans="1:17" x14ac:dyDescent="0.25">
      <c r="A46" s="9">
        <f t="shared" si="3"/>
        <v>44</v>
      </c>
      <c r="B46" s="35"/>
      <c r="C46" s="10" t="s">
        <v>191</v>
      </c>
      <c r="D46" s="10" t="s">
        <v>192</v>
      </c>
      <c r="E46" s="10" t="s">
        <v>193</v>
      </c>
      <c r="F46" s="10" t="s">
        <v>190</v>
      </c>
      <c r="G46" s="6" t="s">
        <v>240</v>
      </c>
      <c r="H46" s="6"/>
      <c r="I46" s="10" t="s">
        <v>190</v>
      </c>
      <c r="J46" s="11">
        <v>1</v>
      </c>
      <c r="K46" s="6">
        <f t="shared" si="1"/>
        <v>5</v>
      </c>
      <c r="L46" s="12" t="s">
        <v>238</v>
      </c>
      <c r="M46" s="13">
        <v>0.52900000000000003</v>
      </c>
      <c r="N46" s="14">
        <f t="shared" si="4"/>
        <v>0.52900000000000003</v>
      </c>
      <c r="O46" s="13">
        <v>0.52900000000000003</v>
      </c>
      <c r="P46" s="14">
        <f t="shared" si="2"/>
        <v>2.645</v>
      </c>
      <c r="Q46" s="6"/>
    </row>
    <row r="47" spans="1:17" x14ac:dyDescent="0.25">
      <c r="A47" s="9">
        <f t="shared" si="3"/>
        <v>45</v>
      </c>
      <c r="B47" s="35"/>
      <c r="C47" s="10" t="s">
        <v>195</v>
      </c>
      <c r="D47" s="10" t="s">
        <v>196</v>
      </c>
      <c r="E47" s="10" t="s">
        <v>197</v>
      </c>
      <c r="F47" s="10" t="s">
        <v>194</v>
      </c>
      <c r="G47" s="6" t="s">
        <v>241</v>
      </c>
      <c r="H47" s="6"/>
      <c r="I47" s="10" t="s">
        <v>194</v>
      </c>
      <c r="J47" s="11">
        <v>1</v>
      </c>
      <c r="K47" s="6">
        <f t="shared" si="1"/>
        <v>5</v>
      </c>
      <c r="L47" s="12" t="s">
        <v>231</v>
      </c>
      <c r="M47" s="13">
        <v>0.51</v>
      </c>
      <c r="N47" s="14">
        <f t="shared" si="4"/>
        <v>0.51</v>
      </c>
      <c r="O47" s="13">
        <v>0.51</v>
      </c>
      <c r="P47" s="14">
        <f t="shared" si="2"/>
        <v>2.5499999999999998</v>
      </c>
      <c r="Q47" s="6"/>
    </row>
    <row r="48" spans="1:17" x14ac:dyDescent="0.25">
      <c r="A48" s="9">
        <f t="shared" si="3"/>
        <v>46</v>
      </c>
      <c r="B48" s="35"/>
      <c r="C48" s="10" t="s">
        <v>199</v>
      </c>
      <c r="D48" s="10" t="s">
        <v>200</v>
      </c>
      <c r="E48" s="10" t="s">
        <v>201</v>
      </c>
      <c r="F48" s="10" t="s">
        <v>198</v>
      </c>
      <c r="G48" s="6"/>
      <c r="H48" s="6"/>
      <c r="I48" s="10" t="s">
        <v>198</v>
      </c>
      <c r="J48" s="11">
        <v>1</v>
      </c>
      <c r="K48" s="6">
        <f t="shared" si="1"/>
        <v>5</v>
      </c>
      <c r="L48" s="12" t="s">
        <v>236</v>
      </c>
      <c r="M48" s="13">
        <v>7.92</v>
      </c>
      <c r="N48" s="14">
        <f t="shared" si="4"/>
        <v>7.92</v>
      </c>
      <c r="O48" s="13">
        <v>39.6</v>
      </c>
      <c r="P48" s="14">
        <v>39.6</v>
      </c>
      <c r="Q48" s="6"/>
    </row>
    <row r="49" spans="1:17" x14ac:dyDescent="0.25">
      <c r="A49" s="9">
        <f t="shared" si="3"/>
        <v>47</v>
      </c>
      <c r="B49" s="36"/>
      <c r="C49" s="10" t="s">
        <v>203</v>
      </c>
      <c r="D49" s="10" t="s">
        <v>204</v>
      </c>
      <c r="E49" s="10" t="s">
        <v>205</v>
      </c>
      <c r="F49" s="10" t="s">
        <v>202</v>
      </c>
      <c r="G49" s="6" t="s">
        <v>242</v>
      </c>
      <c r="H49" s="6"/>
      <c r="I49" s="10" t="s">
        <v>202</v>
      </c>
      <c r="J49" s="11">
        <v>1</v>
      </c>
      <c r="K49" s="6">
        <f t="shared" si="1"/>
        <v>5</v>
      </c>
      <c r="L49" s="12" t="s">
        <v>231</v>
      </c>
      <c r="M49" s="13">
        <v>2.31</v>
      </c>
      <c r="N49" s="14">
        <f t="shared" si="4"/>
        <v>2.31</v>
      </c>
      <c r="O49" s="13">
        <v>2.31</v>
      </c>
      <c r="P49" s="14">
        <f t="shared" si="2"/>
        <v>11.55</v>
      </c>
      <c r="Q49" s="6"/>
    </row>
    <row r="50" spans="1:17" x14ac:dyDescent="0.25">
      <c r="A50" s="9">
        <f t="shared" si="3"/>
        <v>48</v>
      </c>
      <c r="B50" s="30" t="s">
        <v>228</v>
      </c>
      <c r="C50" s="10" t="s">
        <v>75</v>
      </c>
      <c r="D50" s="10" t="s">
        <v>76</v>
      </c>
      <c r="E50" s="10" t="s">
        <v>74</v>
      </c>
      <c r="F50" s="10" t="s">
        <v>74</v>
      </c>
      <c r="G50" s="6"/>
      <c r="H50" s="6"/>
      <c r="I50" s="10" t="s">
        <v>74</v>
      </c>
      <c r="J50" s="11">
        <v>1</v>
      </c>
      <c r="K50" s="6">
        <f t="shared" si="1"/>
        <v>5</v>
      </c>
      <c r="L50" s="12" t="s">
        <v>236</v>
      </c>
      <c r="M50" s="13">
        <v>0.48</v>
      </c>
      <c r="N50" s="14">
        <f t="shared" si="4"/>
        <v>0.48</v>
      </c>
      <c r="O50" s="13">
        <v>0.48</v>
      </c>
      <c r="P50" s="14">
        <f t="shared" si="2"/>
        <v>2.4</v>
      </c>
      <c r="Q50" s="6"/>
    </row>
    <row r="51" spans="1:17" ht="25.5" x14ac:dyDescent="0.25">
      <c r="A51" s="9">
        <f t="shared" si="3"/>
        <v>49</v>
      </c>
      <c r="B51" s="30"/>
      <c r="C51" s="10" t="s">
        <v>78</v>
      </c>
      <c r="D51" s="10" t="s">
        <v>79</v>
      </c>
      <c r="E51" s="10" t="s">
        <v>77</v>
      </c>
      <c r="F51" s="10" t="s">
        <v>77</v>
      </c>
      <c r="G51" s="6" t="s">
        <v>243</v>
      </c>
      <c r="H51" s="6"/>
      <c r="I51" s="10" t="s">
        <v>77</v>
      </c>
      <c r="J51" s="11">
        <v>2</v>
      </c>
      <c r="K51" s="6">
        <f t="shared" si="1"/>
        <v>10</v>
      </c>
      <c r="L51" s="12" t="s">
        <v>231</v>
      </c>
      <c r="M51" s="13">
        <v>1.92</v>
      </c>
      <c r="N51" s="14">
        <f t="shared" si="4"/>
        <v>3.84</v>
      </c>
      <c r="O51" s="13">
        <v>1.744</v>
      </c>
      <c r="P51" s="14">
        <f t="shared" si="2"/>
        <v>17.440000000000001</v>
      </c>
      <c r="Q51" s="6"/>
    </row>
    <row r="52" spans="1:17" x14ac:dyDescent="0.25">
      <c r="A52" s="9">
        <f t="shared" si="3"/>
        <v>50</v>
      </c>
      <c r="B52" s="30"/>
      <c r="C52" s="10" t="s">
        <v>81</v>
      </c>
      <c r="D52" s="10" t="s">
        <v>82</v>
      </c>
      <c r="E52" s="10" t="s">
        <v>80</v>
      </c>
      <c r="F52" s="10" t="s">
        <v>80</v>
      </c>
      <c r="G52" s="6" t="s">
        <v>273</v>
      </c>
      <c r="H52" s="6"/>
      <c r="I52" s="10" t="s">
        <v>80</v>
      </c>
      <c r="J52" s="11">
        <v>1</v>
      </c>
      <c r="K52" s="6">
        <f t="shared" si="1"/>
        <v>5</v>
      </c>
      <c r="L52" s="12" t="s">
        <v>231</v>
      </c>
      <c r="M52" s="13">
        <v>1.29</v>
      </c>
      <c r="N52" s="14">
        <f t="shared" si="4"/>
        <v>1.29</v>
      </c>
      <c r="O52" s="13">
        <v>1.29</v>
      </c>
      <c r="P52" s="14">
        <f t="shared" si="2"/>
        <v>6.45</v>
      </c>
      <c r="Q52" s="6" t="s">
        <v>275</v>
      </c>
    </row>
    <row r="53" spans="1:17" ht="25.5" x14ac:dyDescent="0.25">
      <c r="A53" s="9">
        <f t="shared" si="3"/>
        <v>51</v>
      </c>
      <c r="B53" s="30"/>
      <c r="C53" s="10" t="s">
        <v>84</v>
      </c>
      <c r="D53" s="10" t="s">
        <v>85</v>
      </c>
      <c r="E53" s="10" t="s">
        <v>83</v>
      </c>
      <c r="F53" s="10" t="s">
        <v>83</v>
      </c>
      <c r="G53" s="6" t="s">
        <v>274</v>
      </c>
      <c r="H53" s="6"/>
      <c r="I53" s="10" t="s">
        <v>83</v>
      </c>
      <c r="J53" s="11">
        <v>1</v>
      </c>
      <c r="K53" s="6">
        <f t="shared" si="1"/>
        <v>5</v>
      </c>
      <c r="L53" s="12" t="s">
        <v>236</v>
      </c>
      <c r="M53" s="13">
        <v>0.4</v>
      </c>
      <c r="N53" s="14">
        <f>M53*J53</f>
        <v>0.4</v>
      </c>
      <c r="O53" s="13">
        <v>4</v>
      </c>
      <c r="P53" s="14">
        <v>4</v>
      </c>
      <c r="Q53" s="6"/>
    </row>
    <row r="54" spans="1:17" x14ac:dyDescent="0.25">
      <c r="A54" s="9">
        <f t="shared" si="3"/>
        <v>52</v>
      </c>
      <c r="B54" s="30"/>
      <c r="C54" s="10" t="s">
        <v>97</v>
      </c>
      <c r="D54" s="10" t="s">
        <v>98</v>
      </c>
      <c r="E54" s="10" t="s">
        <v>96</v>
      </c>
      <c r="F54" s="10" t="s">
        <v>96</v>
      </c>
      <c r="G54" s="6" t="s">
        <v>276</v>
      </c>
      <c r="H54" s="6"/>
      <c r="I54" s="10" t="s">
        <v>96</v>
      </c>
      <c r="J54" s="11">
        <v>2</v>
      </c>
      <c r="K54" s="6">
        <f t="shared" si="1"/>
        <v>10</v>
      </c>
      <c r="L54" s="12" t="s">
        <v>231</v>
      </c>
      <c r="M54" s="13">
        <v>1.5</v>
      </c>
      <c r="N54" s="14">
        <f t="shared" si="4"/>
        <v>3</v>
      </c>
      <c r="O54" s="13">
        <v>1.5</v>
      </c>
      <c r="P54" s="14">
        <f t="shared" si="2"/>
        <v>15</v>
      </c>
      <c r="Q54" s="6"/>
    </row>
    <row r="55" spans="1:17" x14ac:dyDescent="0.25">
      <c r="A55" s="9">
        <f t="shared" si="3"/>
        <v>53</v>
      </c>
      <c r="B55" s="30"/>
      <c r="C55" s="10" t="s">
        <v>104</v>
      </c>
      <c r="D55" s="10" t="s">
        <v>105</v>
      </c>
      <c r="E55" s="10" t="s">
        <v>106</v>
      </c>
      <c r="F55" s="10" t="s">
        <v>107</v>
      </c>
      <c r="G55" s="6" t="s">
        <v>277</v>
      </c>
      <c r="H55" s="6"/>
      <c r="I55" s="10" t="s">
        <v>103</v>
      </c>
      <c r="J55" s="11">
        <v>2</v>
      </c>
      <c r="K55" s="6">
        <f t="shared" si="1"/>
        <v>10</v>
      </c>
      <c r="L55" s="12" t="s">
        <v>231</v>
      </c>
      <c r="M55" s="13">
        <v>0.13</v>
      </c>
      <c r="N55" s="14">
        <f>M55*J55</f>
        <v>0.26</v>
      </c>
      <c r="O55" s="13">
        <v>0.106</v>
      </c>
      <c r="P55" s="14">
        <f>O55*K55</f>
        <v>1.06</v>
      </c>
    </row>
    <row r="56" spans="1:17" x14ac:dyDescent="0.25">
      <c r="A56" s="9">
        <f t="shared" si="3"/>
        <v>54</v>
      </c>
      <c r="B56" s="30"/>
      <c r="C56" s="18" t="s">
        <v>100</v>
      </c>
      <c r="D56" s="18" t="s">
        <v>101</v>
      </c>
      <c r="E56" s="18" t="s">
        <v>102</v>
      </c>
      <c r="F56" s="18" t="s">
        <v>102</v>
      </c>
      <c r="G56" s="19"/>
      <c r="H56" s="19"/>
      <c r="I56" s="18" t="s">
        <v>99</v>
      </c>
      <c r="J56" s="19">
        <v>4</v>
      </c>
      <c r="K56" s="19">
        <f t="shared" si="1"/>
        <v>20</v>
      </c>
      <c r="L56" s="19" t="s">
        <v>231</v>
      </c>
      <c r="M56" s="19"/>
      <c r="N56" s="20">
        <f t="shared" si="0"/>
        <v>0</v>
      </c>
      <c r="O56" s="21"/>
      <c r="P56" s="20">
        <f>O56*K56</f>
        <v>0</v>
      </c>
      <c r="Q56" s="19"/>
    </row>
    <row r="57" spans="1:17" x14ac:dyDescent="0.25">
      <c r="A57" s="16"/>
      <c r="B57" s="16"/>
      <c r="C57" s="18" t="s">
        <v>170</v>
      </c>
      <c r="D57" s="18" t="s">
        <v>171</v>
      </c>
      <c r="E57" s="18" t="s">
        <v>169</v>
      </c>
      <c r="F57" s="18" t="s">
        <v>169</v>
      </c>
      <c r="G57" s="19"/>
      <c r="H57" s="19"/>
      <c r="I57" s="18" t="s">
        <v>169</v>
      </c>
      <c r="J57" s="19">
        <v>1</v>
      </c>
      <c r="K57" s="19">
        <f t="shared" si="1"/>
        <v>5</v>
      </c>
      <c r="L57" s="19" t="s">
        <v>231</v>
      </c>
      <c r="M57" s="19"/>
      <c r="N57" s="20">
        <f t="shared" si="0"/>
        <v>0</v>
      </c>
      <c r="O57" s="21"/>
      <c r="P57" s="20">
        <f>O57*K57</f>
        <v>0</v>
      </c>
      <c r="Q57" s="19"/>
    </row>
    <row r="58" spans="1:17" ht="15.75" thickBot="1" x14ac:dyDescent="0.3">
      <c r="C58" s="16"/>
      <c r="D58" s="16"/>
      <c r="E58" s="16"/>
      <c r="F58" s="16"/>
      <c r="G58" s="16"/>
      <c r="H58" s="16"/>
      <c r="I58" s="16"/>
      <c r="J58" s="16"/>
      <c r="K58" s="26" t="s">
        <v>289</v>
      </c>
      <c r="L58" s="26"/>
      <c r="M58" s="27"/>
      <c r="N58" s="28">
        <f>SUM(N3:N55)</f>
        <v>70.28900000000003</v>
      </c>
      <c r="O58" s="26"/>
      <c r="P58" s="29">
        <f>SUM(P3:P55)</f>
        <v>324.673</v>
      </c>
    </row>
    <row r="59" spans="1:17" ht="15.75" thickTop="1" x14ac:dyDescent="0.25"/>
  </sheetData>
  <mergeCells count="7">
    <mergeCell ref="B50:B56"/>
    <mergeCell ref="A1:Q1"/>
    <mergeCell ref="B20:B23"/>
    <mergeCell ref="B3:B19"/>
    <mergeCell ref="B27:B40"/>
    <mergeCell ref="B41:B42"/>
    <mergeCell ref="B43:B49"/>
  </mergeCells>
  <conditionalFormatting sqref="N3:N5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{8E373C51-26EE-4B24-86FA-8126BA64278B}</x14:id>
        </ext>
      </extLst>
    </cfRule>
  </conditionalFormatting>
  <conditionalFormatting sqref="J3:K5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:P47 P54:P57 P49:P52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{19B0CB15-0C97-4D9D-B36B-BDCECB480ACD}</x14:id>
        </ext>
      </extLst>
    </cfRule>
  </conditionalFormatting>
  <hyperlinks>
    <hyperlink ref="L32" r:id="rId1" xr:uid="{EC4809F3-0C4C-4474-B22C-F52BCC494D90}"/>
    <hyperlink ref="L33" r:id="rId2" xr:uid="{877DC95B-400D-4662-B2B6-23CFB8C59098}"/>
    <hyperlink ref="L34" r:id="rId3" xr:uid="{6A679D61-C49F-4F3F-A191-43D5F39F12F6}"/>
    <hyperlink ref="L35" r:id="rId4" xr:uid="{A6152E11-9A1D-4474-9476-E466FEB5B6A4}"/>
    <hyperlink ref="L36" r:id="rId5" xr:uid="{BC3D7FF7-4A8F-41B8-A5DB-379F24D918F4}"/>
    <hyperlink ref="L37" r:id="rId6" xr:uid="{70E8FF58-B6D7-4D5E-B889-9EA97D917B90}"/>
    <hyperlink ref="L38" r:id="rId7" xr:uid="{02160FB3-641C-4363-8164-7BFD3EF7AE7E}"/>
    <hyperlink ref="L39" r:id="rId8" xr:uid="{E673E950-3E29-4A43-A9D8-BD9E09240626}"/>
    <hyperlink ref="L40" r:id="rId9" xr:uid="{A62DE45B-4768-4DDD-AB0A-9441621355B8}"/>
    <hyperlink ref="L43" r:id="rId10" xr:uid="{895E34C3-D225-4F02-B66F-F6874E5E8DCD}"/>
    <hyperlink ref="L44" r:id="rId11" xr:uid="{D294714F-7505-4102-B588-E84BE466F204}"/>
    <hyperlink ref="L45" r:id="rId12" xr:uid="{8F42AE4A-7EC9-40A6-A555-6D690EECA971}"/>
    <hyperlink ref="L46" r:id="rId13" xr:uid="{4338A1CE-A851-41ED-941E-72C01B12E673}"/>
    <hyperlink ref="L47" r:id="rId14" xr:uid="{9F8795AD-D1D5-4A79-A081-1EFFA68D4A00}"/>
    <hyperlink ref="L49" r:id="rId15" xr:uid="{118436A1-ABB8-4560-A919-91EA7DF64441}"/>
    <hyperlink ref="L50" r:id="rId16" xr:uid="{57EB9D2A-54AF-47B3-B5AA-0D89AC420050}"/>
    <hyperlink ref="L51" r:id="rId17" xr:uid="{5EE9713C-E9AB-4EF1-808B-2EC8505A33C1}"/>
    <hyperlink ref="L8" r:id="rId18" xr:uid="{3A0D707B-ED00-46FD-A236-DC3F62CAD0F8}"/>
    <hyperlink ref="L11" r:id="rId19" xr:uid="{E7C1917B-E26B-4E31-9418-5EB0FA150549}"/>
    <hyperlink ref="L17" r:id="rId20" xr:uid="{5F44216C-EFD3-4C7D-882D-8D603B90C64B}"/>
    <hyperlink ref="L18" r:id="rId21" xr:uid="{09D56619-EC98-4753-935E-C5A3DA9F6E72}"/>
    <hyperlink ref="L30" r:id="rId22" xr:uid="{B46A578E-3046-4316-84F8-20A0E3108E6B}"/>
    <hyperlink ref="L4" r:id="rId23" xr:uid="{ECC53EFE-6141-4472-9FE9-4614EFD04A40}"/>
    <hyperlink ref="L5" r:id="rId24" xr:uid="{C82DA257-2FCD-4546-BC77-D5B140A47D79}"/>
    <hyperlink ref="L9" r:id="rId25" xr:uid="{D69DE444-A7A3-4B37-B29C-AE9E44DD14A8}"/>
    <hyperlink ref="L12" r:id="rId26" xr:uid="{161545BE-3FFD-4C1B-9E93-1D1EAED559AF}"/>
    <hyperlink ref="L13" r:id="rId27" xr:uid="{A164F121-709D-434E-994D-91EAFC80B245}"/>
    <hyperlink ref="L14" r:id="rId28" xr:uid="{461D31BF-F251-4DBB-92FF-3A0178DA3F0F}"/>
    <hyperlink ref="L15" r:id="rId29" xr:uid="{07DF26AC-A797-42E2-9632-D9AFE7BADFB8}"/>
    <hyperlink ref="L19" r:id="rId30" xr:uid="{05B94882-6F46-459D-AE55-2C45A7F74DE4}"/>
    <hyperlink ref="L10" r:id="rId31" xr:uid="{22EF1EAF-A7ED-4182-AA55-BD513E1409C9}"/>
    <hyperlink ref="L3" r:id="rId32" xr:uid="{B728AE78-F575-4A84-BB19-389E9A0E711B}"/>
    <hyperlink ref="L52" r:id="rId33" xr:uid="{1D366CF7-2279-49A1-966D-6B6231913A35}"/>
    <hyperlink ref="L53" r:id="rId34" xr:uid="{F7865BC6-3FF2-492E-B653-41F45DBAF2BC}"/>
    <hyperlink ref="L54" r:id="rId35" xr:uid="{ECC6B0BA-0724-4CD6-8061-5CE39A29C60C}"/>
    <hyperlink ref="L55" r:id="rId36" xr:uid="{66847A70-D346-4756-8EF4-91F769C75250}"/>
    <hyperlink ref="L42" r:id="rId37" xr:uid="{A685CACA-1B2E-4C1C-B2B3-74D36B02BEC0}"/>
    <hyperlink ref="L31" r:id="rId38" xr:uid="{4FA1FA80-619A-4ACA-A30F-8124BCA8B4B0}"/>
    <hyperlink ref="L6" r:id="rId39" xr:uid="{F8501281-455D-4A25-A4FC-B389F7C120E4}"/>
    <hyperlink ref="L7" r:id="rId40" xr:uid="{76E3E7EF-32DB-461C-A082-C6DC5AE7BD3B}"/>
    <hyperlink ref="L20" r:id="rId41" xr:uid="{3F941FF7-9FC2-42DE-AF0B-A7FE67D67453}"/>
    <hyperlink ref="L21" r:id="rId42" xr:uid="{9F529E43-41CF-496F-8278-2BD3F2FEA3FC}"/>
    <hyperlink ref="L23" r:id="rId43" xr:uid="{67164AB0-461A-418E-88D4-BDDA76D643D7}"/>
    <hyperlink ref="L25" r:id="rId44" xr:uid="{46CAACB3-5677-4BBD-A97B-19CE5F185967}"/>
    <hyperlink ref="L26" r:id="rId45" xr:uid="{E7BAB990-F00B-417B-8222-D047853F863C}"/>
    <hyperlink ref="L27" r:id="rId46" xr:uid="{C7C864B9-1AFB-49A8-B98E-D108AE83E462}"/>
    <hyperlink ref="L28" r:id="rId47" xr:uid="{EF12A446-A1C6-44E9-91CB-46408D142AF9}"/>
    <hyperlink ref="L29" r:id="rId48" xr:uid="{D1D95DA2-0D4C-482A-AE62-1788DD7D1AD1}"/>
    <hyperlink ref="L48" r:id="rId49" xr:uid="{23250918-8E27-4FD8-82D8-96334E944668}"/>
    <hyperlink ref="L16" r:id="rId50" xr:uid="{2E2497D3-FA84-479D-A99D-0DD50C192481}"/>
    <hyperlink ref="L22" r:id="rId51" xr:uid="{3BB62ADA-98C1-4618-9CA5-A968B6B0DBB1}"/>
    <hyperlink ref="L41" r:id="rId52" xr:uid="{4F2B118C-1DB1-49E0-BBA9-D39CC963F131}"/>
  </hyperlinks>
  <pageMargins left="0.7" right="0.7" top="0.75" bottom="0.75" header="0.3" footer="0.3"/>
  <pageSetup orientation="portrait" r:id="rId5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373C51-26EE-4B24-86FA-8126BA6427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N3:N57</xm:sqref>
        </x14:conditionalFormatting>
        <x14:conditionalFormatting xmlns:xm="http://schemas.microsoft.com/office/excel/2006/main">
          <x14:cfRule type="dataBar" id="{19B0CB15-0C97-4D9D-B36B-BDCECB480A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P3:P47 P54:P57 P49:P52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SM_Top_PCB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2021-07-08T12:50:28Z</dcterms:created>
  <dcterms:modified xsi:type="dcterms:W3CDTF">2021-07-13T15:25:48Z</dcterms:modified>
</cp:coreProperties>
</file>