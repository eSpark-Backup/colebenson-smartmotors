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M_Top_PCB" sheetId="1" r:id="rId1"/>
  </sheets>
  <calcPr calcId="144525"/>
</workbook>
</file>

<file path=xl/sharedStrings.xml><?xml version="1.0" encoding="utf-8"?>
<sst xmlns="http://schemas.openxmlformats.org/spreadsheetml/2006/main" count="501" uniqueCount="347">
  <si>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</si>
  <si>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</si>
  <si>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</si>
  <si>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</si>
  <si>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</si>
  <si>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</si>
  <si>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</si>
  <si>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</si>
  <si>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</si>
  <si>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</si>
  <si>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</si>
  <si>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</si>
  <si>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Quantity 25</t>
  </si>
  <si>
    <t>Quantity 100</t>
  </si>
  <si>
    <t>Unit Cost(1)</t>
  </si>
  <si>
    <t>Total Cost(1)</t>
  </si>
  <si>
    <t>Unit Cost (5 Boards)</t>
  </si>
  <si>
    <t>Total Cost (5)</t>
  </si>
  <si>
    <t>Unit Cost (25 Boards)</t>
  </si>
  <si>
    <t>Total Cost (25)</t>
  </si>
  <si>
    <t>Unit Cost (100 Boards)</t>
  </si>
  <si>
    <t>Total Cost (100)</t>
  </si>
  <si>
    <t>Remarks</t>
  </si>
  <si>
    <t>Capacitor</t>
  </si>
  <si>
    <t xml:space="preserve">CAP ALUM 220UF 20% 63V SMD
</t>
  </si>
  <si>
    <t>C22</t>
  </si>
  <si>
    <t>Custom</t>
  </si>
  <si>
    <t>VKME1451J221MV</t>
  </si>
  <si>
    <t>Ymin</t>
  </si>
  <si>
    <t>EMVY630ARA221MKE0S</t>
  </si>
  <si>
    <t>220uF</t>
  </si>
  <si>
    <t>Only available on LCSC. Alternate suggested.</t>
  </si>
  <si>
    <t>CAP ALUM 220UF 20% 50V SMD</t>
  </si>
  <si>
    <t>C1</t>
  </si>
  <si>
    <t>UCD1H221MNL1GS</t>
  </si>
  <si>
    <t>Nichicon</t>
  </si>
  <si>
    <t xml:space="preserve">CAP CER 0.1UF 50V Y5V 0603
</t>
  </si>
  <si>
    <t>C2, C13, CF1, CF2, CF3, CF4, CF5, CF6</t>
  </si>
  <si>
    <t>Cap0603</t>
  </si>
  <si>
    <t>CL10B104KB8NNNC</t>
  </si>
  <si>
    <t>Samsung</t>
  </si>
  <si>
    <t>CC0603ZRY5V9BB104</t>
  </si>
  <si>
    <t>0.1uF</t>
  </si>
  <si>
    <t>CAP CER 0.1UF 50V X7R 0402</t>
  </si>
  <si>
    <t>C25, C32</t>
  </si>
  <si>
    <t>Cap 0402</t>
  </si>
  <si>
    <t>CL05B104KB54PNC</t>
  </si>
  <si>
    <t>0.1UF</t>
  </si>
  <si>
    <t>CAP CER 10000PF 25V X7R 0402</t>
  </si>
  <si>
    <t>C3</t>
  </si>
  <si>
    <t>CC0402KRX7R8BB103</t>
  </si>
  <si>
    <t>Yageo</t>
  </si>
  <si>
    <t>10nF</t>
  </si>
  <si>
    <t>CAP CER 0.47UF 50V X5R 0402</t>
  </si>
  <si>
    <t>C4, C46</t>
  </si>
  <si>
    <t>UMK105ABJ474KV-F</t>
  </si>
  <si>
    <t>Taiyo Yuden</t>
  </si>
  <si>
    <t>0.47uF</t>
  </si>
  <si>
    <t>CAP CER 1UF 100V X7S 0805</t>
  </si>
  <si>
    <t>C55</t>
  </si>
  <si>
    <t>Cap0805</t>
  </si>
  <si>
    <t>C2012X7S2A105K125AB</t>
  </si>
  <si>
    <t>TDK</t>
  </si>
  <si>
    <t>GCM21BC72A105KE36L</t>
  </si>
  <si>
    <t>1uF</t>
  </si>
  <si>
    <t xml:space="preserve">CAP ALUM 470UF 20% 50V SMD
</t>
  </si>
  <si>
    <t>C4</t>
  </si>
  <si>
    <t>VT1H471MI135000CE0</t>
  </si>
  <si>
    <t>Changzhou Huawei Elec</t>
  </si>
  <si>
    <t>EEE-FK1H471AV</t>
  </si>
  <si>
    <t>470uF</t>
  </si>
  <si>
    <t>Similar package not available</t>
  </si>
  <si>
    <t xml:space="preserve">CAP ALUM 68UF 20% 50V SMD
</t>
  </si>
  <si>
    <t>C5</t>
  </si>
  <si>
    <t>VKMC1001H680MV</t>
  </si>
  <si>
    <t>EEE-FN1H680XL</t>
  </si>
  <si>
    <t>68uF</t>
  </si>
  <si>
    <t>CAP CER 680pF 50 V 0603</t>
  </si>
  <si>
    <t>C6</t>
  </si>
  <si>
    <t>CC0603KRX7R9BB681</t>
  </si>
  <si>
    <t>--------</t>
  </si>
  <si>
    <t>680pF</t>
  </si>
  <si>
    <t>CAP CER 0.47uF 50V X7R 0603</t>
  </si>
  <si>
    <t>C7</t>
  </si>
  <si>
    <t>Cap 0603</t>
  </si>
  <si>
    <t>UMK107B7474KA-TR</t>
  </si>
  <si>
    <t>CL10A474KB8NNNC</t>
  </si>
  <si>
    <t xml:space="preserve">CAP CER 22UF 35V X5R 0805
</t>
  </si>
  <si>
    <t>C8</t>
  </si>
  <si>
    <t>C2012X5R1V226MT000E</t>
  </si>
  <si>
    <t>22uF</t>
  </si>
  <si>
    <t>Voltage ratting is changed</t>
  </si>
  <si>
    <t xml:space="preserve">CAP CER 1UF 25V X5R 0603
</t>
  </si>
  <si>
    <t>CC0603KRX5R8BB105</t>
  </si>
  <si>
    <t xml:space="preserve">CAP CER 2.2UF 35V X5R 0603
</t>
  </si>
  <si>
    <t>C5, C6, C14, C23, C24, C29, C34, C35, C56</t>
  </si>
  <si>
    <t>GRM188R6YA225KA12D</t>
  </si>
  <si>
    <t>Murata</t>
  </si>
  <si>
    <t>CL10A225KL8NNNC</t>
  </si>
  <si>
    <t>2.2uF</t>
  </si>
  <si>
    <t>CAP CER 10UF 25V X5R 0603</t>
  </si>
  <si>
    <t>C8, C10, C11, C12</t>
  </si>
  <si>
    <t>CL10A106MA8NRNC</t>
  </si>
  <si>
    <t>10uF</t>
  </si>
  <si>
    <t>CAP CER 0.082UF 50V X7R 0603</t>
  </si>
  <si>
    <t>C9</t>
  </si>
  <si>
    <t>CC0603KRX7R9BB823</t>
  </si>
  <si>
    <t>82nF</t>
  </si>
  <si>
    <t>CAP CER 4.7UF 25V X5R 0603</t>
  </si>
  <si>
    <t>C33, C38, C39</t>
  </si>
  <si>
    <t>CL10A475KA8NQNC</t>
  </si>
  <si>
    <t>CL10A475MA8NQNC</t>
  </si>
  <si>
    <t>4.7UF</t>
  </si>
  <si>
    <t>CAP CER 1000PF 100V X7R 0402</t>
  </si>
  <si>
    <t>C36</t>
  </si>
  <si>
    <t>885012205080</t>
  </si>
  <si>
    <t>Wurth Electronics</t>
  </si>
  <si>
    <t>1000pF</t>
  </si>
  <si>
    <t>CAP CER 2200PF 50V X7R 0603</t>
  </si>
  <si>
    <t>C37</t>
  </si>
  <si>
    <t>CC0603KRX7R9BB222</t>
  </si>
  <si>
    <t>2.2nF</t>
  </si>
  <si>
    <t>CAP CER 4.7UF 100V X7S 1210</t>
  </si>
  <si>
    <t>C41</t>
  </si>
  <si>
    <t>Cap1210</t>
  </si>
  <si>
    <t>HMK325C7475KN-TE</t>
  </si>
  <si>
    <t>4.7uF</t>
  </si>
  <si>
    <t>Surface Mount Ceramic Multilayer Capacitor 68pF 5% C0G 50V 0603 Paper T/R</t>
  </si>
  <si>
    <t>C42</t>
  </si>
  <si>
    <t>CC0603JRNPO9BN680</t>
  </si>
  <si>
    <t>68pF</t>
  </si>
  <si>
    <t>CAP CER 1206 47 uF 25 V ±20 % Tol. X5R</t>
  </si>
  <si>
    <t>C43, C45, C47</t>
  </si>
  <si>
    <t>Cap1206</t>
  </si>
  <si>
    <t>GRM31CR61E476ME44L</t>
  </si>
  <si>
    <t>47uF</t>
  </si>
  <si>
    <t>CAP CER 0.02uF 50V X7R 10% SMD 0603 125°C Paper T/R</t>
  </si>
  <si>
    <t>C44</t>
  </si>
  <si>
    <t>CC0603KRX7R9BB203</t>
  </si>
  <si>
    <t>20nF</t>
  </si>
  <si>
    <t>CAP CER 0.1UF 100V X7R 0603</t>
  </si>
  <si>
    <t>C15, C20, C40</t>
  </si>
  <si>
    <t>CC0603KRX7R0BB104</t>
  </si>
  <si>
    <t>Cap Ceramic 0.22uF 100V X7R 10% SMD 0805 125°C Embossed T/R</t>
  </si>
  <si>
    <t>C16, C18, C19, C21</t>
  </si>
  <si>
    <t>08051C224K4T2A</t>
  </si>
  <si>
    <t>Kyocera AVX</t>
  </si>
  <si>
    <t>220nF</t>
  </si>
  <si>
    <t>CAP CER 220nF 35V 0805</t>
  </si>
  <si>
    <t>C26, C27, C28, C31</t>
  </si>
  <si>
    <t>0805</t>
  </si>
  <si>
    <t>GMK212BJ224KGHT</t>
  </si>
  <si>
    <t xml:space="preserve">CAP CER 0.022UF 100V X7R 0603
</t>
  </si>
  <si>
    <t>C17</t>
  </si>
  <si>
    <t>CGA3E2X7R2A223K080AA</t>
  </si>
  <si>
    <t>22nF</t>
  </si>
  <si>
    <t>C30</t>
  </si>
  <si>
    <t>.47uF</t>
  </si>
  <si>
    <t>NON Stock</t>
  </si>
  <si>
    <t>CAP CER 1nF 100V X7R 0603</t>
  </si>
  <si>
    <t>C57, C58, C59, C60</t>
  </si>
  <si>
    <t>Res0603</t>
  </si>
  <si>
    <t>CL10B102KC8NNNC</t>
  </si>
  <si>
    <t>C0603C102K1RACTU</t>
  </si>
  <si>
    <t>1nF</t>
  </si>
  <si>
    <t>Diode</t>
  </si>
  <si>
    <t xml:space="preserve">DIODE SCHOTTKY 40V 3A DPAK
</t>
  </si>
  <si>
    <t>D2</t>
  </si>
  <si>
    <t>DPAK</t>
  </si>
  <si>
    <t>VS-30WQ04FNTR-M3</t>
  </si>
  <si>
    <t>CSHD3-40 TR13 PBFREE</t>
  </si>
  <si>
    <t>-----</t>
  </si>
  <si>
    <t>some parameters are different</t>
  </si>
  <si>
    <t>DIODE SCHOTTKY 30V 1A SOD123W</t>
  </si>
  <si>
    <t>D4, D5, D6, D7, D8, D9, D10, D11</t>
  </si>
  <si>
    <t>SOD-123W</t>
  </si>
  <si>
    <t>PMEG3010ER,115</t>
  </si>
  <si>
    <t>Vishay Semiconductors</t>
  </si>
  <si>
    <t>PMEG3010BER,115</t>
  </si>
  <si>
    <t>SMD,3.5x3.5mm Light Emitting Diodes (LED) RoHS</t>
  </si>
  <si>
    <t>LED1</t>
  </si>
  <si>
    <t>WS2812B-Mini</t>
  </si>
  <si>
    <t>Nexperia</t>
  </si>
  <si>
    <t>COM-11821</t>
  </si>
  <si>
    <t>LED GREEN CLEAR CHIP SMD</t>
  </si>
  <si>
    <t>LED2</t>
  </si>
  <si>
    <t>LED 0402</t>
  </si>
  <si>
    <t>XZVG68W-2</t>
  </si>
  <si>
    <t>Worldsemi</t>
  </si>
  <si>
    <t>Fuse</t>
  </si>
  <si>
    <t>FUSE BOARD MNT 15A 125VAC 32VDC</t>
  </si>
  <si>
    <t>F1</t>
  </si>
  <si>
    <t>0685H9150-01</t>
  </si>
  <si>
    <t xml:space="preserve">Bel Fuse Inc.
</t>
  </si>
  <si>
    <t>Inductor</t>
  </si>
  <si>
    <t>FIXED IND 68UH 3.7A 162.87MOHM</t>
  </si>
  <si>
    <t>L1</t>
  </si>
  <si>
    <t>SPM10054T-680M-HZ</t>
  </si>
  <si>
    <t xml:space="preserve">TDK Corporation
</t>
  </si>
  <si>
    <t>Mosfet</t>
  </si>
  <si>
    <t>MOSFET N-CH 80V 74A 8TDSON</t>
  </si>
  <si>
    <t>Q2, Q3, Q4, Q5, Q6, Q7, Q8, Q9</t>
  </si>
  <si>
    <t>8-PowerTDFN</t>
  </si>
  <si>
    <t>BSC072N08NS5ATMA1</t>
  </si>
  <si>
    <t xml:space="preserve">Infineon Technologies
</t>
  </si>
  <si>
    <t>Resistor</t>
  </si>
  <si>
    <t>RES SMD 5.1K OHM 5% 1/10W 0603</t>
  </si>
  <si>
    <t>R1, R2</t>
  </si>
  <si>
    <t>RC0603JR-075K1L</t>
  </si>
  <si>
    <t>5.1K</t>
  </si>
  <si>
    <t>RES SMD 0R, 1%, 0.1W, 0603</t>
  </si>
  <si>
    <t>R3, R29</t>
  </si>
  <si>
    <t>RC0603FR-070RL</t>
  </si>
  <si>
    <t>0R</t>
  </si>
  <si>
    <t>RES SMD 10.5K 0.1W 0603</t>
  </si>
  <si>
    <t>R4</t>
  </si>
  <si>
    <t>RC0603FR-0710K5L</t>
  </si>
  <si>
    <t>10.5K</t>
  </si>
  <si>
    <t xml:space="preserve">RES SMD 1K OHM 5% 1/10W 0603
</t>
  </si>
  <si>
    <t>R5</t>
  </si>
  <si>
    <t>RC0603JR-071KL</t>
  </si>
  <si>
    <t>1K</t>
  </si>
  <si>
    <t>RES SMD 47OHM 0.1W 0603</t>
  </si>
  <si>
    <t>R6, R7, R8, R9</t>
  </si>
  <si>
    <t>RC0603FR-0747RL</t>
  </si>
  <si>
    <t>47R</t>
  </si>
  <si>
    <t xml:space="preserve">RES 0.033 OHM 1% 2W 2512
</t>
  </si>
  <si>
    <t>R10, R11, R12, R13</t>
  </si>
  <si>
    <t>RES 2512</t>
  </si>
  <si>
    <t>CRH2512FR033E04Z</t>
  </si>
  <si>
    <t>Ever Ohms Tech</t>
  </si>
  <si>
    <t>WSL2512R0330FEA18</t>
  </si>
  <si>
    <t>33m</t>
  </si>
  <si>
    <t>RES SMD 150OHM 1/10W 0603</t>
  </si>
  <si>
    <t>R14, R15, R16, R17, R18, R19, R20, R26</t>
  </si>
  <si>
    <t>RC0603FR-07150RL</t>
  </si>
  <si>
    <t>150R</t>
  </si>
  <si>
    <t>RES SMD 3.01K OHM 1% 1/10W 0603</t>
  </si>
  <si>
    <t>R21</t>
  </si>
  <si>
    <t>ERJ3EKF3011V</t>
  </si>
  <si>
    <t>AC0603FR-073K01L</t>
  </si>
  <si>
    <t>3.01K</t>
  </si>
  <si>
    <t>RES SMD 11K, 1%, 0.1W, 0603</t>
  </si>
  <si>
    <t>R22</t>
  </si>
  <si>
    <t>RC0603FR-0711KL</t>
  </si>
  <si>
    <t>11K</t>
  </si>
  <si>
    <t>RES SMD 2.2OHM 0603</t>
  </si>
  <si>
    <t>R23</t>
  </si>
  <si>
    <t>ERJ3GEYJ2R2V</t>
  </si>
  <si>
    <t>Panasonic Electronic Components</t>
  </si>
  <si>
    <t>2R2</t>
  </si>
  <si>
    <t>RES SMD 12.4K OHM 1% 1/10W 0603</t>
  </si>
  <si>
    <t>R24</t>
  </si>
  <si>
    <t>RC0603FR-0712K4L</t>
  </si>
  <si>
    <t>12.4K</t>
  </si>
  <si>
    <t>RES SMD 143 OHM 1% 1/10W 0603</t>
  </si>
  <si>
    <t>R25</t>
  </si>
  <si>
    <t>ERJ-3EKF1430V</t>
  </si>
  <si>
    <t>143R</t>
  </si>
  <si>
    <t>RES SMD 11.8K OHM 1% 1/10W 0603</t>
  </si>
  <si>
    <t>R27</t>
  </si>
  <si>
    <t>AC0603FR-0711K8L</t>
  </si>
  <si>
    <t>RT0603BRE0711K8L</t>
  </si>
  <si>
    <t>11.8K</t>
  </si>
  <si>
    <t>RES SMD 105K OHM 1% 1/10W 0603</t>
  </si>
  <si>
    <t>R28</t>
  </si>
  <si>
    <t>RC0603FR-07105KL</t>
  </si>
  <si>
    <t>105K</t>
  </si>
  <si>
    <t>Switch</t>
  </si>
  <si>
    <t>Memontary Tactile Push Button Switch 6X6X4.3 / 4.5 / 5/6/7/8/9/10 / 13mm SMD</t>
  </si>
  <si>
    <t>SW1</t>
  </si>
  <si>
    <t>Tactile Switch 13mm Actuator</t>
  </si>
  <si>
    <t>----</t>
  </si>
  <si>
    <t>50 per lot available</t>
  </si>
  <si>
    <t>SPDT 50mA @ 12VDC 12V On-On SMD Toggle Switches RoHS</t>
  </si>
  <si>
    <t>SW2, SW3</t>
  </si>
  <si>
    <t>SS-3235D-03-L2</t>
  </si>
  <si>
    <t>-------</t>
  </si>
  <si>
    <t>Ics</t>
  </si>
  <si>
    <t>IC BUF NON-INVERT 5.5V SOT23-5</t>
  </si>
  <si>
    <t>U1</t>
  </si>
  <si>
    <t>SOT-23-5</t>
  </si>
  <si>
    <t>SN74LV1T34DBVR</t>
  </si>
  <si>
    <t xml:space="preserve">Texas Instruments
</t>
  </si>
  <si>
    <t>40V 2A SOP-8_150mil DC-DC Converters RoHS</t>
  </si>
  <si>
    <t>U2</t>
  </si>
  <si>
    <t>SOP-8</t>
  </si>
  <si>
    <t>XL1509-ADJE1</t>
  </si>
  <si>
    <t xml:space="preserve"> XLSEMI</t>
  </si>
  <si>
    <t>LDO Regulator Pos 12V 1A 4-Pin(3+Tab) TO-263 T/R</t>
  </si>
  <si>
    <t>U3</t>
  </si>
  <si>
    <t>TO-263-3</t>
  </si>
  <si>
    <t>LM2940SX-12/NOPB</t>
  </si>
  <si>
    <t>Texas Instruments</t>
  </si>
  <si>
    <t>IC REG LINEAR 5V 300MA SOT23-3</t>
  </si>
  <si>
    <t>U4</t>
  </si>
  <si>
    <t>SOT-23</t>
  </si>
  <si>
    <t>AP2210N-5.0TRG1</t>
  </si>
  <si>
    <t>DIODES INC.</t>
  </si>
  <si>
    <t>IC REG LINEAR 3.3V 1A 6UDFN</t>
  </si>
  <si>
    <t>U5</t>
  </si>
  <si>
    <t>6-UDFN (3x3)</t>
  </si>
  <si>
    <t>NCP708MU330TAG</t>
  </si>
  <si>
    <t>ON Semiconductor</t>
  </si>
  <si>
    <t>IC MTR DRVR BIPOLAR 8-60V 48TQFP</t>
  </si>
  <si>
    <t>U6</t>
  </si>
  <si>
    <t>48-tqfp-ep (7x7)</t>
  </si>
  <si>
    <t>TMC5160A-TA-T</t>
  </si>
  <si>
    <t>IC OPAMP GP 1.7MHZ RRO SOT23-6</t>
  </si>
  <si>
    <t>U7</t>
  </si>
  <si>
    <t>SOT-23-6</t>
  </si>
  <si>
    <t>MAX4236EUT+T</t>
  </si>
  <si>
    <t>Maxim Integrated</t>
  </si>
  <si>
    <t>Connectors</t>
  </si>
  <si>
    <t>USB - Type C Female 24 SMD USB Connectors RoHS</t>
  </si>
  <si>
    <t>J1</t>
  </si>
  <si>
    <t>MC-318</t>
  </si>
  <si>
    <t>SOFNG</t>
  </si>
  <si>
    <t>Conn RJ-25 F 6 POS 2.54mm Solder ST Thru-Hole 4 Terminal 1 Port Tray Cat 3</t>
  </si>
  <si>
    <t>J2, J5</t>
  </si>
  <si>
    <t>5520425-2</t>
  </si>
  <si>
    <t>TE Connectivity AMP Connectors</t>
  </si>
  <si>
    <t>CONN HEADER SMD 20POS 1.27MM</t>
  </si>
  <si>
    <t>J3</t>
  </si>
  <si>
    <t>M55-7012042R</t>
  </si>
  <si>
    <t>Harwin Inc.</t>
  </si>
  <si>
    <t>CONN HEADER VERT 4POS 2.5MM</t>
  </si>
  <si>
    <t>J4</t>
  </si>
  <si>
    <t>B4B-XH-A(LF)(SN)</t>
  </si>
  <si>
    <t>JST Sales America Inc.</t>
  </si>
  <si>
    <t xml:space="preserve">DO NOT MOUNT </t>
  </si>
  <si>
    <t>XT60 CONNECTORS MALE/FEMALE PAIR</t>
  </si>
  <si>
    <t>P1, P2</t>
  </si>
  <si>
    <t>PRT-10474</t>
  </si>
  <si>
    <t>SparkFun Electronics</t>
  </si>
  <si>
    <t>CONN HEADER VERT 2POS 2.54MM</t>
  </si>
  <si>
    <t>P7, P8</t>
  </si>
  <si>
    <t>HDR1X2</t>
  </si>
  <si>
    <t>Würth Elektronik</t>
  </si>
  <si>
    <t>Test Point ON</t>
  </si>
  <si>
    <t>P3, P4, P5, P6</t>
  </si>
  <si>
    <t>TEST POINT</t>
  </si>
  <si>
    <t>Solder Bridge ON</t>
  </si>
  <si>
    <t>SB1</t>
  </si>
  <si>
    <t>Solder Bridge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</si>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</sst>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&quot;$&quot;#,##0.00"/>
  </numFmts>
  <fonts count="32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trike/>
      <sz val="10"/>
      <color rgb="FFFF0000"/>
      <name val="Calibri"/>
      <charset val="134"/>
      <scheme val="minor"/>
    </font>
    <font>
      <b/>
      <sz val="14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8" borderId="0" applyNumberFormat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13" borderId="38" applyNumberFormat="0" applyAlignment="0" applyProtection="0">
      <alignment vertical="center"/>
    </xf>
    <xf numFmtId="0" fontId="23" fillId="0" borderId="39" applyNumberFormat="0" applyFill="0" applyAlignment="0" applyProtection="0">
      <alignment vertical="center"/>
    </xf>
    <xf numFmtId="0" fontId="8" fillId="14" borderId="41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5" fillId="0" borderId="39" applyNumberFormat="0" applyFill="0" applyAlignment="0" applyProtection="0">
      <alignment vertical="center"/>
    </xf>
    <xf numFmtId="0" fontId="13" fillId="0" borderId="3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6" fillId="18" borderId="42" applyNumberFormat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15" fillId="9" borderId="36" applyNumberFormat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30" fillId="9" borderId="42" applyNumberFormat="0" applyAlignment="0" applyProtection="0">
      <alignment vertical="center"/>
    </xf>
    <xf numFmtId="0" fontId="31" fillId="0" borderId="43" applyNumberFormat="0" applyFill="0" applyAlignment="0" applyProtection="0">
      <alignment vertical="center"/>
    </xf>
    <xf numFmtId="0" fontId="24" fillId="0" borderId="40" applyNumberFormat="0" applyFill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37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left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/>
    </xf>
    <xf numFmtId="0" fontId="4" fillId="3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3" xfId="0" applyFont="1" applyFill="1" applyBorder="1" applyAlignment="1">
      <alignment vertical="center" wrapText="1"/>
    </xf>
    <xf numFmtId="0" fontId="8" fillId="0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" fillId="0" borderId="14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left" vertical="center" wrapText="1"/>
    </xf>
    <xf numFmtId="0" fontId="6" fillId="0" borderId="13" xfId="0" applyFont="1" applyFill="1" applyBorder="1" applyAlignment="1">
      <alignment horizontal="center" vertical="center" wrapText="1"/>
    </xf>
    <xf numFmtId="0" fontId="6" fillId="0" borderId="1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6" fillId="0" borderId="13" xfId="0" applyFont="1" applyFill="1" applyBorder="1" applyAlignment="1">
      <alignment horizontal="left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12" xfId="0" applyFont="1" applyBorder="1" applyAlignment="1">
      <alignment horizontal="left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/>
    </xf>
    <xf numFmtId="0" fontId="8" fillId="0" borderId="13" xfId="0" applyFont="1" applyFill="1" applyBorder="1" applyAlignment="1">
      <alignment horizontal="left" vertical="center"/>
    </xf>
    <xf numFmtId="0" fontId="8" fillId="0" borderId="13" xfId="0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left" vertical="center" wrapText="1"/>
    </xf>
    <xf numFmtId="0" fontId="8" fillId="0" borderId="13" xfId="0" applyFont="1" applyFill="1" applyBorder="1" applyAlignment="1">
      <alignment vertical="center"/>
    </xf>
    <xf numFmtId="0" fontId="5" fillId="3" borderId="13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left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left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178" fontId="2" fillId="2" borderId="21" xfId="0" applyNumberFormat="1" applyFont="1" applyFill="1" applyBorder="1" applyAlignment="1">
      <alignment horizontal="center" vertical="center"/>
    </xf>
    <xf numFmtId="178" fontId="7" fillId="0" borderId="8" xfId="0" applyNumberFormat="1" applyFont="1" applyBorder="1" applyAlignment="1">
      <alignment horizontal="center" vertical="center" wrapText="1"/>
    </xf>
    <xf numFmtId="44" fontId="7" fillId="0" borderId="8" xfId="0" applyNumberFormat="1" applyFont="1" applyBorder="1" applyAlignment="1">
      <alignment horizontal="center" vertical="center" wrapText="1"/>
    </xf>
    <xf numFmtId="0" fontId="6" fillId="0" borderId="24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178" fontId="7" fillId="0" borderId="22" xfId="0" applyNumberFormat="1" applyFont="1" applyBorder="1" applyAlignment="1">
      <alignment horizontal="center" vertical="center" wrapText="1"/>
    </xf>
    <xf numFmtId="44" fontId="7" fillId="0" borderId="22" xfId="0" applyNumberFormat="1" applyFont="1" applyBorder="1" applyAlignment="1">
      <alignment horizontal="center" vertical="center" wrapText="1"/>
    </xf>
    <xf numFmtId="178" fontId="7" fillId="0" borderId="13" xfId="0" applyNumberFormat="1" applyFont="1" applyBorder="1" applyAlignment="1">
      <alignment horizontal="center" vertical="center" wrapText="1"/>
    </xf>
    <xf numFmtId="44" fontId="7" fillId="0" borderId="13" xfId="0" applyNumberFormat="1" applyFont="1" applyBorder="1" applyAlignment="1">
      <alignment horizontal="center" vertical="center" wrapText="1"/>
    </xf>
    <xf numFmtId="0" fontId="8" fillId="0" borderId="25" xfId="0" applyFont="1" applyFill="1" applyBorder="1" applyAlignment="1">
      <alignment horizontal="center" vertical="center" wrapText="1"/>
    </xf>
    <xf numFmtId="0" fontId="6" fillId="0" borderId="25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 wrapText="1"/>
    </xf>
    <xf numFmtId="0" fontId="6" fillId="0" borderId="25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178" fontId="7" fillId="0" borderId="13" xfId="0" applyNumberFormat="1" applyFont="1" applyBorder="1" applyAlignment="1">
      <alignment horizontal="center" vertical="center"/>
    </xf>
    <xf numFmtId="178" fontId="7" fillId="0" borderId="17" xfId="0" applyNumberFormat="1" applyFont="1" applyBorder="1" applyAlignment="1">
      <alignment horizontal="center" vertical="center" wrapText="1"/>
    </xf>
    <xf numFmtId="44" fontId="7" fillId="0" borderId="17" xfId="0" applyNumberFormat="1" applyFont="1" applyBorder="1" applyAlignment="1">
      <alignment horizontal="center" vertical="center" wrapText="1"/>
    </xf>
    <xf numFmtId="178" fontId="7" fillId="0" borderId="8" xfId="0" applyNumberFormat="1" applyFont="1" applyBorder="1" applyAlignment="1">
      <alignment horizontal="center" vertical="center"/>
    </xf>
    <xf numFmtId="178" fontId="7" fillId="0" borderId="17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178" fontId="7" fillId="0" borderId="19" xfId="0" applyNumberFormat="1" applyFont="1" applyBorder="1" applyAlignment="1">
      <alignment horizontal="center" vertical="center"/>
    </xf>
    <xf numFmtId="44" fontId="7" fillId="0" borderId="19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178" fontId="7" fillId="0" borderId="21" xfId="0" applyNumberFormat="1" applyFont="1" applyBorder="1" applyAlignment="1">
      <alignment horizontal="center" vertical="center"/>
    </xf>
    <xf numFmtId="44" fontId="7" fillId="0" borderId="21" xfId="0" applyNumberFormat="1" applyFont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5" borderId="30" xfId="0" applyFont="1" applyFill="1" applyBorder="1" applyAlignment="1">
      <alignment horizontal="center" vertical="center" wrapText="1"/>
    </xf>
    <xf numFmtId="0" fontId="9" fillId="5" borderId="30" xfId="0" applyFont="1" applyFill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5" borderId="28" xfId="0" applyFont="1" applyFill="1" applyBorder="1" applyAlignment="1">
      <alignment horizontal="center" vertical="center" wrapText="1"/>
    </xf>
    <xf numFmtId="0" fontId="7" fillId="5" borderId="31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/>
    </xf>
    <xf numFmtId="0" fontId="9" fillId="5" borderId="33" xfId="0" applyFont="1" applyFill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44" fontId="7" fillId="0" borderId="2" xfId="0" applyNumberFormat="1" applyFont="1" applyBorder="1" applyAlignment="1">
      <alignment horizontal="center" vertical="center" wrapText="1"/>
    </xf>
    <xf numFmtId="0" fontId="9" fillId="5" borderId="28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left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10" fillId="4" borderId="22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left" vertical="center" wrapText="1"/>
    </xf>
    <xf numFmtId="0" fontId="10" fillId="4" borderId="1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8" fontId="10" fillId="4" borderId="13" xfId="0" applyNumberFormat="1" applyFont="1" applyFill="1" applyBorder="1" applyAlignment="1">
      <alignment horizontal="center" vertical="center" wrapText="1"/>
    </xf>
    <xf numFmtId="44" fontId="10" fillId="4" borderId="13" xfId="0" applyNumberFormat="1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44" fontId="10" fillId="4" borderId="17" xfId="0" applyNumberFormat="1" applyFont="1" applyFill="1" applyBorder="1" applyAlignment="1">
      <alignment horizontal="center" vertical="center" wrapText="1"/>
    </xf>
    <xf numFmtId="178" fontId="10" fillId="4" borderId="17" xfId="0" applyNumberFormat="1" applyFont="1" applyFill="1" applyBorder="1" applyAlignment="1">
      <alignment horizontal="center" vertical="center" wrapText="1"/>
    </xf>
    <xf numFmtId="0" fontId="11" fillId="3" borderId="34" xfId="0" applyFont="1" applyFill="1" applyBorder="1" applyAlignment="1">
      <alignment horizontal="center" wrapText="1"/>
    </xf>
    <xf numFmtId="44" fontId="7" fillId="0" borderId="22" xfId="0" applyNumberFormat="1" applyFont="1" applyBorder="1" applyAlignment="1">
      <alignment horizontal="center" vertical="center" wrapText="1"/>
    </xf>
    <xf numFmtId="0" fontId="11" fillId="3" borderId="0" xfId="0" applyFont="1" applyFill="1" applyBorder="1" applyAlignment="1">
      <alignment horizontal="center" wrapText="1"/>
    </xf>
    <xf numFmtId="44" fontId="0" fillId="0" borderId="0" xfId="0" applyNumberFormat="1"/>
    <xf numFmtId="0" fontId="12" fillId="4" borderId="30" xfId="0" applyFont="1" applyFill="1" applyBorder="1" applyAlignment="1">
      <alignment horizontal="center" vertical="center" wrapText="1"/>
    </xf>
    <xf numFmtId="44" fontId="7" fillId="0" borderId="0" xfId="0" applyNumberFormat="1" applyFont="1" applyBorder="1" applyAlignment="1">
      <alignment horizontal="center" vertical="center" wrapText="1"/>
    </xf>
    <xf numFmtId="0" fontId="0" fillId="0" borderId="35" xfId="0" applyBorder="1"/>
    <xf numFmtId="0" fontId="12" fillId="4" borderId="31" xfId="0" applyFont="1" applyFill="1" applyBorder="1" applyAlignment="1">
      <alignment horizontal="center" vertical="center" wrapText="1"/>
    </xf>
    <xf numFmtId="0" fontId="4" fillId="0" borderId="7" xfId="0" applyFont="1" applyBorder="1" applyAlignment="1" quotePrefix="1">
      <alignment horizontal="left" vertical="center"/>
    </xf>
    <xf numFmtId="0" fontId="4" fillId="0" borderId="8" xfId="0" applyFont="1" applyBorder="1" applyAlignment="1" quotePrefix="1">
      <alignment horizontal="center" vertical="center" wrapText="1"/>
    </xf>
    <xf numFmtId="0" fontId="5" fillId="0" borderId="8" xfId="0" applyFont="1" applyBorder="1" applyAlignment="1" quotePrefix="1">
      <alignment horizontal="center" vertical="center" wrapText="1"/>
    </xf>
    <xf numFmtId="0" fontId="6" fillId="0" borderId="10" xfId="0" applyFont="1" applyFill="1" applyBorder="1" applyAlignment="1" quotePrefix="1">
      <alignment horizontal="left" vertical="center"/>
    </xf>
    <xf numFmtId="0" fontId="6" fillId="0" borderId="10" xfId="0" applyFont="1" applyFill="1" applyBorder="1" applyAlignment="1" quotePrefix="1">
      <alignment horizontal="center" vertical="center"/>
    </xf>
    <xf numFmtId="0" fontId="6" fillId="0" borderId="11" xfId="0" applyFont="1" applyFill="1" applyBorder="1" applyAlignment="1" quotePrefix="1">
      <alignment horizontal="center" vertical="center"/>
    </xf>
    <xf numFmtId="0" fontId="6" fillId="0" borderId="24" xfId="0" applyFont="1" applyFill="1" applyBorder="1" applyAlignment="1" quotePrefix="1">
      <alignment horizontal="center" vertical="center"/>
    </xf>
    <xf numFmtId="0" fontId="4" fillId="0" borderId="12" xfId="0" applyFont="1" applyBorder="1" applyAlignment="1" quotePrefix="1">
      <alignment horizontal="left" vertical="center"/>
    </xf>
    <xf numFmtId="0" fontId="4" fillId="3" borderId="13" xfId="0" applyFont="1" applyFill="1" applyBorder="1" applyAlignment="1" quotePrefix="1">
      <alignment horizontal="center" vertical="center"/>
    </xf>
    <xf numFmtId="0" fontId="4" fillId="0" borderId="13" xfId="0" applyFont="1" applyBorder="1" applyAlignment="1" quotePrefix="1">
      <alignment horizontal="center" vertical="center"/>
    </xf>
    <xf numFmtId="0" fontId="8" fillId="0" borderId="13" xfId="0" applyFont="1" applyFill="1" applyBorder="1" applyAlignment="1" quotePrefix="1">
      <alignment vertical="center" wrapText="1"/>
    </xf>
    <xf numFmtId="0" fontId="8" fillId="0" borderId="13" xfId="0" applyFont="1" applyFill="1" applyBorder="1" applyAlignment="1" quotePrefix="1">
      <alignment horizontal="center" vertical="center" wrapText="1"/>
    </xf>
    <xf numFmtId="0" fontId="8" fillId="0" borderId="14" xfId="0" applyFont="1" applyFill="1" applyBorder="1" applyAlignment="1" quotePrefix="1">
      <alignment horizontal="center" vertical="center" wrapText="1"/>
    </xf>
    <xf numFmtId="0" fontId="8" fillId="0" borderId="25" xfId="0" applyFont="1" applyFill="1" applyBorder="1" applyAlignment="1" quotePrefix="1">
      <alignment horizontal="center" vertical="center" wrapText="1"/>
    </xf>
    <xf numFmtId="0" fontId="6" fillId="0" borderId="13" xfId="0" applyFont="1" applyFill="1" applyBorder="1" applyAlignment="1" quotePrefix="1">
      <alignment horizontal="left" vertical="center" wrapText="1"/>
    </xf>
    <xf numFmtId="0" fontId="6" fillId="0" borderId="13" xfId="0" applyFont="1" applyFill="1" applyBorder="1" applyAlignment="1" quotePrefix="1">
      <alignment horizontal="center" vertical="center" wrapText="1"/>
    </xf>
    <xf numFmtId="0" fontId="6" fillId="0" borderId="14" xfId="0" applyFont="1" applyFill="1" applyBorder="1" applyAlignment="1" quotePrefix="1">
      <alignment horizontal="center" vertical="center" wrapText="1"/>
    </xf>
    <xf numFmtId="0" fontId="6" fillId="0" borderId="25" xfId="0" applyFont="1" applyFill="1" applyBorder="1" applyAlignment="1" quotePrefix="1">
      <alignment horizontal="center" vertical="center" wrapText="1"/>
    </xf>
    <xf numFmtId="0" fontId="6" fillId="0" borderId="13" xfId="0" applyFont="1" applyFill="1" applyBorder="1" applyAlignment="1" quotePrefix="1">
      <alignment horizontal="left" vertical="center"/>
    </xf>
    <xf numFmtId="0" fontId="6" fillId="0" borderId="13" xfId="0" applyFont="1" applyFill="1" applyBorder="1" applyAlignment="1" quotePrefix="1">
      <alignment horizontal="center" vertical="center"/>
    </xf>
    <xf numFmtId="0" fontId="6" fillId="0" borderId="14" xfId="0" applyFont="1" applyFill="1" applyBorder="1" applyAlignment="1" quotePrefix="1">
      <alignment horizontal="center" vertical="center"/>
    </xf>
    <xf numFmtId="0" fontId="6" fillId="0" borderId="25" xfId="0" applyFont="1" applyFill="1" applyBorder="1" applyAlignment="1" quotePrefix="1">
      <alignment horizontal="center" vertical="center"/>
    </xf>
    <xf numFmtId="0" fontId="4" fillId="0" borderId="12" xfId="0" applyFont="1" applyBorder="1" applyAlignment="1" quotePrefix="1">
      <alignment horizontal="left" vertical="center" wrapText="1"/>
    </xf>
    <xf numFmtId="0" fontId="4" fillId="0" borderId="13" xfId="0" applyFont="1" applyBorder="1" applyAlignment="1" quotePrefix="1">
      <alignment horizontal="center" vertical="center" wrapText="1"/>
    </xf>
    <xf numFmtId="0" fontId="4" fillId="3" borderId="13" xfId="0" applyFont="1" applyFill="1" applyBorder="1" applyAlignment="1" quotePrefix="1">
      <alignment horizontal="center" vertical="center" wrapText="1"/>
    </xf>
    <xf numFmtId="0" fontId="5" fillId="0" borderId="13" xfId="0" applyFont="1" applyBorder="1" applyAlignment="1" quotePrefix="1">
      <alignment horizontal="center" vertical="center" wrapText="1"/>
    </xf>
    <xf numFmtId="0" fontId="4" fillId="4" borderId="12" xfId="0" applyFont="1" applyFill="1" applyBorder="1" applyAlignment="1" quotePrefix="1">
      <alignment horizontal="left" vertical="center"/>
    </xf>
    <xf numFmtId="0" fontId="8" fillId="0" borderId="13" xfId="0" applyFont="1" applyFill="1" applyBorder="1" applyAlignment="1" quotePrefix="1">
      <alignment horizontal="left" vertical="center"/>
    </xf>
    <xf numFmtId="0" fontId="8" fillId="0" borderId="13" xfId="0" applyFont="1" applyFill="1" applyBorder="1" applyAlignment="1" quotePrefix="1">
      <alignment horizontal="center" vertical="center"/>
    </xf>
    <xf numFmtId="0" fontId="8" fillId="0" borderId="14" xfId="0" applyFont="1" applyFill="1" applyBorder="1" applyAlignment="1" quotePrefix="1">
      <alignment horizontal="center" vertical="center"/>
    </xf>
    <xf numFmtId="0" fontId="8" fillId="0" borderId="25" xfId="0" applyFont="1" applyFill="1" applyBorder="1" applyAlignment="1" quotePrefix="1">
      <alignment horizontal="center" vertical="center"/>
    </xf>
    <xf numFmtId="0" fontId="8" fillId="0" borderId="13" xfId="0" applyFont="1" applyFill="1" applyBorder="1" applyAlignment="1" quotePrefix="1">
      <alignment horizontal="left" vertical="center" wrapText="1"/>
    </xf>
    <xf numFmtId="0" fontId="8" fillId="0" borderId="13" xfId="0" applyFont="1" applyFill="1" applyBorder="1" applyAlignment="1" quotePrefix="1">
      <alignment vertical="center"/>
    </xf>
    <xf numFmtId="0" fontId="5" fillId="3" borderId="13" xfId="0" applyFont="1" applyFill="1" applyBorder="1" applyAlignment="1" quotePrefix="1">
      <alignment horizontal="center" vertical="center" wrapText="1"/>
    </xf>
    <xf numFmtId="0" fontId="5" fillId="3" borderId="13" xfId="0" applyFont="1" applyFill="1" applyBorder="1" applyAlignment="1" quotePrefix="1">
      <alignment horizontal="center" vertical="center"/>
    </xf>
    <xf numFmtId="0" fontId="4" fillId="0" borderId="16" xfId="0" applyFont="1" applyBorder="1" applyAlignment="1" quotePrefix="1">
      <alignment horizontal="left" vertical="center" wrapText="1"/>
    </xf>
    <xf numFmtId="0" fontId="4" fillId="3" borderId="17" xfId="0" applyFont="1" applyFill="1" applyBorder="1" applyAlignment="1" quotePrefix="1">
      <alignment horizontal="center" vertical="center" wrapText="1"/>
    </xf>
    <xf numFmtId="0" fontId="4" fillId="0" borderId="17" xfId="0" applyFont="1" applyBorder="1" applyAlignment="1" quotePrefix="1">
      <alignment horizontal="center" vertical="center" wrapText="1"/>
    </xf>
    <xf numFmtId="0" fontId="4" fillId="3" borderId="8" xfId="0" applyFont="1" applyFill="1" applyBorder="1" applyAlignment="1" quotePrefix="1">
      <alignment horizontal="center" vertical="center" wrapText="1"/>
    </xf>
    <xf numFmtId="0" fontId="4" fillId="0" borderId="18" xfId="0" applyFont="1" applyBorder="1" applyAlignment="1" quotePrefix="1">
      <alignment horizontal="left" vertical="center" wrapText="1"/>
    </xf>
    <xf numFmtId="0" fontId="4" fillId="3" borderId="19" xfId="0" applyFont="1" applyFill="1" applyBorder="1" applyAlignment="1" quotePrefix="1">
      <alignment horizontal="center" vertical="center" wrapText="1"/>
    </xf>
    <xf numFmtId="0" fontId="4" fillId="0" borderId="19" xfId="0" applyFont="1" applyBorder="1" applyAlignment="1" quotePrefix="1">
      <alignment horizontal="center" vertical="center" wrapText="1"/>
    </xf>
    <xf numFmtId="0" fontId="4" fillId="0" borderId="19" xfId="0" applyFont="1" applyBorder="1" applyAlignment="1" quotePrefix="1">
      <alignment horizontal="center" vertical="center"/>
    </xf>
    <xf numFmtId="0" fontId="4" fillId="0" borderId="20" xfId="0" applyFont="1" applyBorder="1" applyAlignment="1" quotePrefix="1">
      <alignment horizontal="left" vertical="center" wrapText="1"/>
    </xf>
    <xf numFmtId="0" fontId="4" fillId="3" borderId="21" xfId="0" applyFont="1" applyFill="1" applyBorder="1" applyAlignment="1" quotePrefix="1">
      <alignment horizontal="center" vertical="center" wrapText="1"/>
    </xf>
    <xf numFmtId="0" fontId="4" fillId="0" borderId="21" xfId="0" applyFont="1" applyBorder="1" applyAlignment="1" quotePrefix="1">
      <alignment horizontal="center" vertical="center" wrapText="1"/>
    </xf>
    <xf numFmtId="0" fontId="4" fillId="0" borderId="21" xfId="0" applyFont="1" applyBorder="1" applyAlignment="1" quotePrefix="1">
      <alignment horizontal="center" vertical="center"/>
    </xf>
    <xf numFmtId="0" fontId="4" fillId="0" borderId="7" xfId="0" applyFont="1" applyBorder="1" applyAlignment="1" quotePrefix="1">
      <alignment horizontal="left" vertical="center" wrapText="1"/>
    </xf>
    <xf numFmtId="0" fontId="4" fillId="0" borderId="22" xfId="0" applyFont="1" applyBorder="1" applyAlignment="1" quotePrefix="1">
      <alignment horizontal="center" vertical="center" wrapText="1"/>
    </xf>
    <xf numFmtId="0" fontId="7" fillId="0" borderId="13" xfId="0" applyFont="1" applyBorder="1" applyAlignment="1" quotePrefix="1">
      <alignment horizontal="center" vertical="center" wrapText="1"/>
    </xf>
    <xf numFmtId="0" fontId="7" fillId="0" borderId="17" xfId="0" applyFont="1" applyBorder="1" applyAlignment="1" quotePrefix="1">
      <alignment horizontal="center" vertical="center" wrapText="1"/>
    </xf>
    <xf numFmtId="0" fontId="7" fillId="0" borderId="8" xfId="0" applyFont="1" applyBorder="1" applyAlignment="1" quotePrefix="1">
      <alignment horizontal="center" vertical="center" wrapText="1"/>
    </xf>
    <xf numFmtId="0" fontId="7" fillId="0" borderId="23" xfId="0" applyFont="1" applyBorder="1" applyAlignment="1" quotePrefix="1">
      <alignment horizontal="center" vertical="center" wrapText="1"/>
    </xf>
    <xf numFmtId="0" fontId="7" fillId="0" borderId="22" xfId="0" applyFont="1" applyBorder="1" applyAlignment="1" quotePrefix="1">
      <alignment horizontal="center" vertical="center" wrapText="1"/>
    </xf>
    <xf numFmtId="0" fontId="10" fillId="4" borderId="12" xfId="0" applyFont="1" applyFill="1" applyBorder="1" applyAlignment="1" quotePrefix="1">
      <alignment horizontal="left" vertical="center" wrapText="1"/>
    </xf>
    <xf numFmtId="0" fontId="10" fillId="4" borderId="13" xfId="0" applyFont="1" applyFill="1" applyBorder="1" applyAlignment="1" quotePrefix="1">
      <alignment horizontal="center" vertical="center" wrapText="1"/>
    </xf>
    <xf numFmtId="0" fontId="10" fillId="4" borderId="22" xfId="0" applyFont="1" applyFill="1" applyBorder="1" applyAlignment="1" quotePrefix="1">
      <alignment horizontal="center" vertical="center" wrapText="1"/>
    </xf>
    <xf numFmtId="0" fontId="4" fillId="4" borderId="13" xfId="0" applyFont="1" applyFill="1" applyBorder="1" applyAlignment="1" quotePrefix="1">
      <alignment horizontal="center" vertical="center" wrapText="1"/>
    </xf>
    <xf numFmtId="0" fontId="10" fillId="4" borderId="16" xfId="0" applyFont="1" applyFill="1" applyBorder="1" applyAlignment="1" quotePrefix="1">
      <alignment horizontal="left" vertical="center" wrapText="1"/>
    </xf>
    <xf numFmtId="0" fontId="10" fillId="4" borderId="17" xfId="0" applyFont="1" applyFill="1" applyBorder="1" applyAlignment="1" quotePrefix="1">
      <alignment horizontal="center" vertical="center" wrapText="1"/>
    </xf>
    <xf numFmtId="0" fontId="4" fillId="4" borderId="17" xfId="0" applyFont="1" applyFill="1" applyBorder="1" applyAlignment="1" quotePrefix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1"/>
  <sheetViews>
    <sheetView tabSelected="1" topLeftCell="B3" workbookViewId="0">
      <selection activeCell="F25" sqref="F25"/>
    </sheetView>
  </sheetViews>
  <sheetFormatPr defaultColWidth="9" defaultRowHeight="15"/>
  <cols>
    <col min="1" max="1" width="6.14285714285714" customWidth="1"/>
    <col min="2" max="2" width="12.2857142857143" customWidth="1"/>
    <col min="3" max="3" width="44.2857142857143" customWidth="1"/>
    <col min="4" max="4" width="21.5714285714286" customWidth="1"/>
    <col min="5" max="5" width="18.5714285714286" customWidth="1"/>
    <col min="6" max="6" width="28.5714285714286" customWidth="1"/>
    <col min="7" max="7" width="28.2857142857143" customWidth="1"/>
    <col min="8" max="8" width="19.8571428571429" customWidth="1"/>
    <col min="9" max="9" width="6.28571428571429" customWidth="1"/>
    <col min="10" max="10" width="19.4285714285714" customWidth="1"/>
    <col min="11" max="13" width="18" customWidth="1"/>
    <col min="14" max="14" width="11.5714285714286" customWidth="1"/>
    <col min="15" max="15" width="12.1428571428571" customWidth="1"/>
    <col min="16" max="16" width="18.7142857142857" customWidth="1"/>
    <col min="17" max="17" width="12.5714285714286" customWidth="1"/>
    <col min="18" max="18" width="19.7142857142857" customWidth="1"/>
    <col min="19" max="19" width="13.7142857142857" customWidth="1"/>
    <col min="20" max="20" width="20.7142857142857" customWidth="1"/>
    <col min="21" max="21" width="14.7142857142857" customWidth="1"/>
    <col min="22" max="22" width="27.5714285714286" customWidth="1"/>
  </cols>
  <sheetData>
    <row r="1" ht="16.5" spans="1:22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100"/>
    </row>
    <row r="2" s="1" customFormat="1" ht="15.75" spans="1:22">
      <c r="A2" s="4" t="s">
        <v>1</v>
      </c>
      <c r="B2" s="5" t="s">
        <v>2</v>
      </c>
      <c r="C2" s="6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5" t="s">
        <v>9</v>
      </c>
      <c r="J2" s="6" t="s">
        <v>10</v>
      </c>
      <c r="K2" s="5" t="s">
        <v>11</v>
      </c>
      <c r="L2" s="70" t="s">
        <v>12</v>
      </c>
      <c r="M2" s="71" t="s">
        <v>13</v>
      </c>
      <c r="N2" s="71" t="s">
        <v>14</v>
      </c>
      <c r="O2" s="71" t="s">
        <v>15</v>
      </c>
      <c r="P2" s="72" t="s">
        <v>16</v>
      </c>
      <c r="Q2" s="71" t="s">
        <v>17</v>
      </c>
      <c r="R2" s="72" t="s">
        <v>18</v>
      </c>
      <c r="S2" s="71" t="s">
        <v>19</v>
      </c>
      <c r="T2" s="72" t="s">
        <v>20</v>
      </c>
      <c r="U2" s="71" t="s">
        <v>21</v>
      </c>
      <c r="V2" s="101" t="s">
        <v>22</v>
      </c>
    </row>
    <row r="3" ht="26.25" spans="1:22">
      <c r="A3" s="4">
        <v>1</v>
      </c>
      <c r="B3" s="7" t="s">
        <v>23</v>
      </c>
      <c r="C3" s="137" t="s">
        <v>24</v>
      </c>
      <c r="D3" s="9" t="s">
        <v>25</v>
      </c>
      <c r="E3" s="138" t="s">
        <v>26</v>
      </c>
      <c r="F3" s="138" t="s">
        <v>27</v>
      </c>
      <c r="G3" s="138" t="s">
        <v>28</v>
      </c>
      <c r="H3" s="139" t="s">
        <v>29</v>
      </c>
      <c r="I3" s="138" t="s">
        <v>30</v>
      </c>
      <c r="J3" s="10">
        <v>1</v>
      </c>
      <c r="K3" s="66">
        <f>J3*5</f>
        <v>5</v>
      </c>
      <c r="L3" s="66">
        <f>J3*25</f>
        <v>25</v>
      </c>
      <c r="M3" s="66">
        <f>J3*100</f>
        <v>100</v>
      </c>
      <c r="N3" s="73">
        <v>1.58</v>
      </c>
      <c r="O3" s="74">
        <f>N3*J3</f>
        <v>1.58</v>
      </c>
      <c r="P3" s="73">
        <v>1.245</v>
      </c>
      <c r="Q3" s="74">
        <f>P3*K3</f>
        <v>6.225</v>
      </c>
      <c r="R3" s="74">
        <v>1.0794</v>
      </c>
      <c r="S3" s="74">
        <f>R3*L3</f>
        <v>26.985</v>
      </c>
      <c r="T3" s="74">
        <v>0.9341</v>
      </c>
      <c r="U3" s="74">
        <f>T3*M3</f>
        <v>93.41</v>
      </c>
      <c r="V3" s="102" t="s">
        <v>31</v>
      </c>
    </row>
    <row r="4" spans="1:22">
      <c r="A4" s="4"/>
      <c r="B4" s="12"/>
      <c r="C4" s="140" t="s">
        <v>32</v>
      </c>
      <c r="D4" s="141" t="s">
        <v>33</v>
      </c>
      <c r="E4" s="141" t="s">
        <v>34</v>
      </c>
      <c r="F4" s="142" t="s">
        <v>34</v>
      </c>
      <c r="G4" s="141" t="s">
        <v>35</v>
      </c>
      <c r="H4" s="16"/>
      <c r="I4" s="143" t="s">
        <v>30</v>
      </c>
      <c r="J4" s="76">
        <v>1</v>
      </c>
      <c r="K4" s="77"/>
      <c r="L4" s="77"/>
      <c r="M4" s="77"/>
      <c r="N4" s="78"/>
      <c r="O4" s="79"/>
      <c r="P4" s="78"/>
      <c r="Q4" s="79"/>
      <c r="R4" s="79"/>
      <c r="S4" s="79"/>
      <c r="T4" s="79"/>
      <c r="U4" s="79"/>
      <c r="V4" s="103"/>
    </row>
    <row r="5" ht="15.75" spans="1:22">
      <c r="A5" s="4">
        <v>2</v>
      </c>
      <c r="B5" s="17"/>
      <c r="C5" s="144" t="s">
        <v>36</v>
      </c>
      <c r="D5" s="145" t="s">
        <v>37</v>
      </c>
      <c r="E5" s="146" t="s">
        <v>38</v>
      </c>
      <c r="F5" s="146" t="s">
        <v>39</v>
      </c>
      <c r="G5" s="146" t="s">
        <v>40</v>
      </c>
      <c r="H5" s="21" t="s">
        <v>41</v>
      </c>
      <c r="I5" s="146" t="s">
        <v>42</v>
      </c>
      <c r="J5" s="20">
        <v>8</v>
      </c>
      <c r="K5" s="64">
        <f>J5*5</f>
        <v>40</v>
      </c>
      <c r="L5" s="64">
        <f>J5*25</f>
        <v>200</v>
      </c>
      <c r="M5" s="64">
        <f>J5*100</f>
        <v>800</v>
      </c>
      <c r="N5" s="80">
        <v>0.1</v>
      </c>
      <c r="O5" s="81">
        <f>N5*J5</f>
        <v>0.8</v>
      </c>
      <c r="P5" s="80">
        <v>0.048</v>
      </c>
      <c r="Q5" s="81">
        <f>P5*K5</f>
        <v>1.92</v>
      </c>
      <c r="R5" s="81">
        <v>0.0214</v>
      </c>
      <c r="S5" s="81">
        <f>R5*L5</f>
        <v>4.28</v>
      </c>
      <c r="T5" s="81">
        <v>0.01526</v>
      </c>
      <c r="U5" s="81">
        <f>T5*M5</f>
        <v>12.208</v>
      </c>
      <c r="V5" s="104"/>
    </row>
    <row r="6" ht="15.75" spans="1:22">
      <c r="A6" s="4"/>
      <c r="B6" s="17"/>
      <c r="C6" s="147" t="s">
        <v>43</v>
      </c>
      <c r="D6" s="148" t="s">
        <v>44</v>
      </c>
      <c r="E6" s="148" t="s">
        <v>45</v>
      </c>
      <c r="F6" s="24"/>
      <c r="G6" s="148" t="s">
        <v>40</v>
      </c>
      <c r="H6" s="149" t="s">
        <v>46</v>
      </c>
      <c r="I6" s="150" t="s">
        <v>47</v>
      </c>
      <c r="J6" s="23">
        <v>2</v>
      </c>
      <c r="K6" s="64"/>
      <c r="L6" s="64"/>
      <c r="M6" s="64"/>
      <c r="N6" s="80"/>
      <c r="O6" s="81"/>
      <c r="P6" s="80"/>
      <c r="Q6" s="81"/>
      <c r="R6" s="81"/>
      <c r="S6" s="81"/>
      <c r="T6" s="81"/>
      <c r="U6" s="81"/>
      <c r="V6" s="104"/>
    </row>
    <row r="7" ht="15.75" spans="1:22">
      <c r="A7" s="4"/>
      <c r="B7" s="17"/>
      <c r="C7" s="151" t="s">
        <v>48</v>
      </c>
      <c r="D7" s="152" t="s">
        <v>49</v>
      </c>
      <c r="E7" s="152" t="s">
        <v>45</v>
      </c>
      <c r="F7" s="153" t="s">
        <v>50</v>
      </c>
      <c r="G7" s="152" t="s">
        <v>51</v>
      </c>
      <c r="H7" s="29"/>
      <c r="I7" s="154" t="s">
        <v>52</v>
      </c>
      <c r="J7" s="84">
        <v>1</v>
      </c>
      <c r="K7" s="64"/>
      <c r="L7" s="64"/>
      <c r="M7" s="64"/>
      <c r="N7" s="80"/>
      <c r="O7" s="81"/>
      <c r="P7" s="80"/>
      <c r="Q7" s="81"/>
      <c r="R7" s="81"/>
      <c r="S7" s="81"/>
      <c r="T7" s="81"/>
      <c r="U7" s="81"/>
      <c r="V7" s="104"/>
    </row>
    <row r="8" spans="1:22">
      <c r="A8" s="4"/>
      <c r="B8" s="17"/>
      <c r="C8" s="155" t="s">
        <v>53</v>
      </c>
      <c r="D8" s="156" t="s">
        <v>54</v>
      </c>
      <c r="E8" s="156" t="s">
        <v>45</v>
      </c>
      <c r="F8" s="157" t="s">
        <v>55</v>
      </c>
      <c r="G8" s="156" t="s">
        <v>56</v>
      </c>
      <c r="H8" s="33"/>
      <c r="I8" s="158" t="s">
        <v>57</v>
      </c>
      <c r="J8" s="86">
        <v>2</v>
      </c>
      <c r="K8" s="64"/>
      <c r="L8" s="64"/>
      <c r="M8" s="64"/>
      <c r="N8" s="80"/>
      <c r="O8" s="81"/>
      <c r="P8" s="80"/>
      <c r="Q8" s="81"/>
      <c r="R8" s="81"/>
      <c r="S8" s="81"/>
      <c r="T8" s="81"/>
      <c r="U8" s="81"/>
      <c r="V8" s="104"/>
    </row>
    <row r="9" ht="15.75" spans="1:22">
      <c r="A9" s="4">
        <v>3</v>
      </c>
      <c r="B9" s="17"/>
      <c r="C9" s="159" t="s">
        <v>58</v>
      </c>
      <c r="D9" s="35" t="s">
        <v>59</v>
      </c>
      <c r="E9" s="160" t="s">
        <v>60</v>
      </c>
      <c r="F9" s="160" t="s">
        <v>61</v>
      </c>
      <c r="G9" s="160" t="s">
        <v>62</v>
      </c>
      <c r="H9" s="37" t="s">
        <v>63</v>
      </c>
      <c r="I9" s="160" t="s">
        <v>64</v>
      </c>
      <c r="J9" s="36">
        <v>1</v>
      </c>
      <c r="K9" s="64">
        <f>J9*5</f>
        <v>5</v>
      </c>
      <c r="L9" s="64">
        <f>J9*25</f>
        <v>25</v>
      </c>
      <c r="M9" s="64">
        <f>J9*100</f>
        <v>100</v>
      </c>
      <c r="N9" s="80">
        <v>0.48</v>
      </c>
      <c r="O9" s="81">
        <f>N9*J9</f>
        <v>0.48</v>
      </c>
      <c r="P9" s="80">
        <v>0.48</v>
      </c>
      <c r="Q9" s="81">
        <f>P9*K9</f>
        <v>2.4</v>
      </c>
      <c r="R9" s="81">
        <v>0.341</v>
      </c>
      <c r="S9" s="81">
        <f>R9*L9</f>
        <v>8.525</v>
      </c>
      <c r="T9" s="81">
        <v>0.2248</v>
      </c>
      <c r="U9" s="81">
        <f>T9*M9</f>
        <v>22.48</v>
      </c>
      <c r="V9" s="104"/>
    </row>
    <row r="10" ht="15.75" spans="1:22">
      <c r="A10" s="4">
        <v>4</v>
      </c>
      <c r="B10" s="17"/>
      <c r="C10" s="144" t="s">
        <v>65</v>
      </c>
      <c r="D10" s="161" t="s">
        <v>66</v>
      </c>
      <c r="E10" s="160" t="s">
        <v>26</v>
      </c>
      <c r="F10" s="160" t="s">
        <v>67</v>
      </c>
      <c r="G10" s="160" t="s">
        <v>68</v>
      </c>
      <c r="H10" s="162" t="s">
        <v>69</v>
      </c>
      <c r="I10" s="160" t="s">
        <v>70</v>
      </c>
      <c r="J10" s="36">
        <v>1</v>
      </c>
      <c r="K10" s="64">
        <f>J10*5</f>
        <v>5</v>
      </c>
      <c r="L10" s="64">
        <f>J10*25</f>
        <v>25</v>
      </c>
      <c r="M10" s="64">
        <f>J10*100</f>
        <v>100</v>
      </c>
      <c r="N10" s="80">
        <v>2.77</v>
      </c>
      <c r="O10" s="81">
        <f>N10*J10</f>
        <v>2.77</v>
      </c>
      <c r="P10" s="80">
        <v>2.77</v>
      </c>
      <c r="Q10" s="81">
        <f>P10*K10</f>
        <v>13.85</v>
      </c>
      <c r="R10" s="81">
        <v>2.243</v>
      </c>
      <c r="S10" s="81">
        <f>R10*L10</f>
        <v>56.075</v>
      </c>
      <c r="T10" s="81">
        <v>1.9572</v>
      </c>
      <c r="U10" s="81">
        <f>T10*M10</f>
        <v>195.72</v>
      </c>
      <c r="V10" s="104" t="s">
        <v>71</v>
      </c>
    </row>
    <row r="11" ht="15.75" spans="1:22">
      <c r="A11" s="4">
        <v>5</v>
      </c>
      <c r="B11" s="17"/>
      <c r="C11" s="144" t="s">
        <v>72</v>
      </c>
      <c r="D11" s="161" t="s">
        <v>73</v>
      </c>
      <c r="E11" s="160" t="s">
        <v>26</v>
      </c>
      <c r="F11" s="160" t="s">
        <v>74</v>
      </c>
      <c r="G11" s="160" t="s">
        <v>28</v>
      </c>
      <c r="H11" s="162" t="s">
        <v>75</v>
      </c>
      <c r="I11" s="160" t="s">
        <v>76</v>
      </c>
      <c r="J11" s="36">
        <v>1</v>
      </c>
      <c r="K11" s="64">
        <f>J11*5</f>
        <v>5</v>
      </c>
      <c r="L11" s="64">
        <f>J11*25</f>
        <v>25</v>
      </c>
      <c r="M11" s="64">
        <f>J11*100</f>
        <v>100</v>
      </c>
      <c r="N11" s="80">
        <v>0.76</v>
      </c>
      <c r="O11" s="81">
        <f>N11*J11</f>
        <v>0.76</v>
      </c>
      <c r="P11" s="80">
        <v>0.76</v>
      </c>
      <c r="Q11" s="81">
        <f>P11*K11</f>
        <v>3.8</v>
      </c>
      <c r="R11" s="81">
        <v>0.538</v>
      </c>
      <c r="S11" s="81">
        <f>R11*L11</f>
        <v>13.45</v>
      </c>
      <c r="T11" s="81">
        <v>0.3543</v>
      </c>
      <c r="U11" s="81">
        <f>T11*M11</f>
        <v>35.43</v>
      </c>
      <c r="V11" s="104" t="s">
        <v>71</v>
      </c>
    </row>
    <row r="12" ht="15.75" spans="1:22">
      <c r="A12" s="4">
        <v>6</v>
      </c>
      <c r="B12" s="17"/>
      <c r="C12" s="159" t="s">
        <v>77</v>
      </c>
      <c r="D12" s="161" t="s">
        <v>78</v>
      </c>
      <c r="E12" s="160" t="s">
        <v>38</v>
      </c>
      <c r="F12" s="160" t="s">
        <v>79</v>
      </c>
      <c r="G12" s="160" t="s">
        <v>51</v>
      </c>
      <c r="H12" s="162" t="s">
        <v>80</v>
      </c>
      <c r="I12" s="160" t="s">
        <v>81</v>
      </c>
      <c r="J12" s="36">
        <v>1</v>
      </c>
      <c r="K12" s="64">
        <f>J12*5</f>
        <v>5</v>
      </c>
      <c r="L12" s="64">
        <f>J12*25</f>
        <v>25</v>
      </c>
      <c r="M12" s="64">
        <f>J12*100</f>
        <v>100</v>
      </c>
      <c r="N12" s="80">
        <v>0.1</v>
      </c>
      <c r="O12" s="81">
        <f>N12*J12</f>
        <v>0.1</v>
      </c>
      <c r="P12" s="80">
        <v>0.1</v>
      </c>
      <c r="Q12" s="81">
        <f>P12*K12</f>
        <v>0.5</v>
      </c>
      <c r="R12" s="81">
        <v>0.047</v>
      </c>
      <c r="S12" s="81">
        <f>R12*L12</f>
        <v>1.175</v>
      </c>
      <c r="T12" s="81">
        <v>0.021</v>
      </c>
      <c r="U12" s="81">
        <f>T12*M12</f>
        <v>2.1</v>
      </c>
      <c r="V12" s="104"/>
    </row>
    <row r="13" ht="15.75" spans="1:22">
      <c r="A13" s="4">
        <v>7</v>
      </c>
      <c r="B13" s="17"/>
      <c r="C13" s="159" t="s">
        <v>82</v>
      </c>
      <c r="D13" s="161" t="s">
        <v>83</v>
      </c>
      <c r="E13" s="160" t="s">
        <v>84</v>
      </c>
      <c r="F13" s="160" t="s">
        <v>85</v>
      </c>
      <c r="G13" s="160" t="s">
        <v>56</v>
      </c>
      <c r="H13" s="37" t="s">
        <v>86</v>
      </c>
      <c r="I13" s="160" t="s">
        <v>57</v>
      </c>
      <c r="J13" s="36">
        <v>1</v>
      </c>
      <c r="K13" s="64">
        <f>J13*5</f>
        <v>5</v>
      </c>
      <c r="L13" s="64">
        <f>J13*25</f>
        <v>25</v>
      </c>
      <c r="M13" s="64">
        <f>J13*100</f>
        <v>100</v>
      </c>
      <c r="N13" s="80">
        <v>0.27</v>
      </c>
      <c r="O13" s="81">
        <f>N13*J13</f>
        <v>0.27</v>
      </c>
      <c r="P13" s="80">
        <v>0.27</v>
      </c>
      <c r="Q13" s="81">
        <f>P13*K13</f>
        <v>1.35</v>
      </c>
      <c r="R13" s="81">
        <v>0.181</v>
      </c>
      <c r="S13" s="81">
        <f>R13*L13</f>
        <v>4.525</v>
      </c>
      <c r="T13" s="81">
        <v>0.0918</v>
      </c>
      <c r="U13" s="81">
        <f>T13*M13</f>
        <v>9.18</v>
      </c>
      <c r="V13" s="104"/>
    </row>
    <row r="14" ht="15.75" spans="1:22">
      <c r="A14" s="4">
        <v>8</v>
      </c>
      <c r="B14" s="17"/>
      <c r="C14" s="144" t="s">
        <v>87</v>
      </c>
      <c r="D14" s="161" t="s">
        <v>88</v>
      </c>
      <c r="E14" s="160" t="s">
        <v>60</v>
      </c>
      <c r="F14" s="160" t="s">
        <v>89</v>
      </c>
      <c r="G14" s="160" t="s">
        <v>62</v>
      </c>
      <c r="H14" s="162" t="s">
        <v>80</v>
      </c>
      <c r="I14" s="160" t="s">
        <v>90</v>
      </c>
      <c r="J14" s="36">
        <v>1</v>
      </c>
      <c r="K14" s="64">
        <f>J14*5</f>
        <v>5</v>
      </c>
      <c r="L14" s="64">
        <f>J14*25</f>
        <v>25</v>
      </c>
      <c r="M14" s="64">
        <f>J14*100</f>
        <v>100</v>
      </c>
      <c r="N14" s="80">
        <v>1.03</v>
      </c>
      <c r="O14" s="81">
        <f>N14*J14</f>
        <v>1.03</v>
      </c>
      <c r="P14" s="80">
        <v>1.03</v>
      </c>
      <c r="Q14" s="81">
        <f>P14*K14</f>
        <v>5.15</v>
      </c>
      <c r="R14" s="81">
        <v>0.785</v>
      </c>
      <c r="S14" s="81">
        <f>R14*L14</f>
        <v>19.625</v>
      </c>
      <c r="T14" s="81">
        <v>0.5615</v>
      </c>
      <c r="U14" s="81">
        <f>T14*M14</f>
        <v>56.15</v>
      </c>
      <c r="V14" s="104" t="s">
        <v>91</v>
      </c>
    </row>
    <row r="15" ht="15.75" spans="1:22">
      <c r="A15" s="4">
        <v>9</v>
      </c>
      <c r="B15" s="17"/>
      <c r="C15" s="144" t="s">
        <v>92</v>
      </c>
      <c r="D15" s="161" t="s">
        <v>83</v>
      </c>
      <c r="E15" s="160" t="s">
        <v>84</v>
      </c>
      <c r="F15" s="160" t="s">
        <v>93</v>
      </c>
      <c r="G15" s="160" t="s">
        <v>51</v>
      </c>
      <c r="H15" s="162" t="s">
        <v>80</v>
      </c>
      <c r="I15" s="160" t="s">
        <v>64</v>
      </c>
      <c r="J15" s="36">
        <v>1</v>
      </c>
      <c r="K15" s="64">
        <f>J15*5</f>
        <v>5</v>
      </c>
      <c r="L15" s="64">
        <f>J15*25</f>
        <v>25</v>
      </c>
      <c r="M15" s="64">
        <f>J15*100</f>
        <v>100</v>
      </c>
      <c r="N15" s="80">
        <v>0.12</v>
      </c>
      <c r="O15" s="81">
        <f>N15*J15</f>
        <v>0.12</v>
      </c>
      <c r="P15" s="80">
        <v>0.12</v>
      </c>
      <c r="Q15" s="81">
        <f>P15*K15</f>
        <v>0.6</v>
      </c>
      <c r="R15" s="81">
        <v>0.084</v>
      </c>
      <c r="S15" s="81">
        <f>R15*L15</f>
        <v>2.1</v>
      </c>
      <c r="T15" s="81">
        <v>0.0394</v>
      </c>
      <c r="U15" s="81">
        <f>T15*M15</f>
        <v>3.94</v>
      </c>
      <c r="V15" s="104"/>
    </row>
    <row r="16" ht="30.75" spans="1:22">
      <c r="A16" s="4">
        <v>10</v>
      </c>
      <c r="B16" s="17"/>
      <c r="C16" s="163" t="s">
        <v>94</v>
      </c>
      <c r="D16" s="147" t="s">
        <v>95</v>
      </c>
      <c r="E16" s="160" t="s">
        <v>84</v>
      </c>
      <c r="F16" s="160" t="s">
        <v>96</v>
      </c>
      <c r="G16" s="160" t="s">
        <v>97</v>
      </c>
      <c r="H16" s="37" t="s">
        <v>98</v>
      </c>
      <c r="I16" s="160" t="s">
        <v>99</v>
      </c>
      <c r="J16" s="36">
        <v>9</v>
      </c>
      <c r="K16" s="64">
        <f>J16*5</f>
        <v>45</v>
      </c>
      <c r="L16" s="64">
        <f>J16*25</f>
        <v>225</v>
      </c>
      <c r="M16" s="64">
        <f>J16*100</f>
        <v>900</v>
      </c>
      <c r="N16" s="80">
        <v>0.21</v>
      </c>
      <c r="O16" s="81">
        <f>N16*J16</f>
        <v>1.89</v>
      </c>
      <c r="P16" s="80">
        <v>0.143</v>
      </c>
      <c r="Q16" s="81">
        <f>P16*K16</f>
        <v>6.435</v>
      </c>
      <c r="R16" s="81">
        <v>0.0724</v>
      </c>
      <c r="S16" s="81">
        <f>R16*L16</f>
        <v>16.29</v>
      </c>
      <c r="T16" s="81">
        <v>0.04952</v>
      </c>
      <c r="U16" s="81">
        <f>T16*M16</f>
        <v>44.568</v>
      </c>
      <c r="V16" s="104"/>
    </row>
    <row r="17" ht="15.75" spans="1:22">
      <c r="A17" s="4"/>
      <c r="B17" s="17"/>
      <c r="C17" s="151" t="s">
        <v>100</v>
      </c>
      <c r="D17" s="152" t="s">
        <v>101</v>
      </c>
      <c r="E17" s="152" t="s">
        <v>84</v>
      </c>
      <c r="F17" s="153" t="s">
        <v>102</v>
      </c>
      <c r="G17" s="152" t="s">
        <v>40</v>
      </c>
      <c r="H17" s="29"/>
      <c r="I17" s="154" t="s">
        <v>103</v>
      </c>
      <c r="J17" s="84">
        <v>4</v>
      </c>
      <c r="K17" s="64"/>
      <c r="L17" s="64"/>
      <c r="M17" s="64"/>
      <c r="N17" s="80"/>
      <c r="O17" s="81"/>
      <c r="P17" s="80"/>
      <c r="Q17" s="81"/>
      <c r="R17" s="81"/>
      <c r="S17" s="81"/>
      <c r="T17" s="81"/>
      <c r="U17" s="81"/>
      <c r="V17" s="104"/>
    </row>
    <row r="18" ht="15.75" spans="1:22">
      <c r="A18" s="4"/>
      <c r="B18" s="17"/>
      <c r="C18" s="151" t="s">
        <v>104</v>
      </c>
      <c r="D18" s="152" t="s">
        <v>105</v>
      </c>
      <c r="E18" s="152" t="s">
        <v>84</v>
      </c>
      <c r="F18" s="153" t="s">
        <v>106</v>
      </c>
      <c r="G18" s="152" t="s">
        <v>51</v>
      </c>
      <c r="H18" s="29"/>
      <c r="I18" s="154" t="s">
        <v>107</v>
      </c>
      <c r="J18" s="84">
        <v>1</v>
      </c>
      <c r="K18" s="64"/>
      <c r="L18" s="64"/>
      <c r="M18" s="64"/>
      <c r="N18" s="80"/>
      <c r="O18" s="81"/>
      <c r="P18" s="80"/>
      <c r="Q18" s="81"/>
      <c r="R18" s="81"/>
      <c r="S18" s="81"/>
      <c r="T18" s="81"/>
      <c r="U18" s="81"/>
      <c r="V18" s="104"/>
    </row>
    <row r="19" ht="15.75" spans="1:22">
      <c r="A19" s="4">
        <v>11</v>
      </c>
      <c r="B19" s="17"/>
      <c r="C19" s="159" t="s">
        <v>108</v>
      </c>
      <c r="D19" s="148" t="s">
        <v>109</v>
      </c>
      <c r="E19" s="160" t="s">
        <v>38</v>
      </c>
      <c r="F19" s="160" t="s">
        <v>110</v>
      </c>
      <c r="G19" s="160" t="s">
        <v>40</v>
      </c>
      <c r="H19" s="37" t="s">
        <v>111</v>
      </c>
      <c r="I19" s="160" t="s">
        <v>112</v>
      </c>
      <c r="J19" s="36">
        <v>3</v>
      </c>
      <c r="K19" s="64">
        <f>J19*5</f>
        <v>15</v>
      </c>
      <c r="L19" s="64">
        <f>J19*25</f>
        <v>75</v>
      </c>
      <c r="M19" s="64">
        <f>J19*100</f>
        <v>300</v>
      </c>
      <c r="N19" s="80">
        <v>0.31</v>
      </c>
      <c r="O19" s="81">
        <f>N19*J19</f>
        <v>0.93</v>
      </c>
      <c r="P19" s="80">
        <v>0.143</v>
      </c>
      <c r="Q19" s="81">
        <f>P19*K19</f>
        <v>2.145</v>
      </c>
      <c r="R19" s="81">
        <v>0.1416</v>
      </c>
      <c r="S19" s="81">
        <f>R19*L19</f>
        <v>10.62</v>
      </c>
      <c r="T19" s="81">
        <v>0.1204</v>
      </c>
      <c r="U19" s="81">
        <f>T19*M19</f>
        <v>36.12</v>
      </c>
      <c r="V19" s="104"/>
    </row>
    <row r="20" ht="15.75" spans="1:22">
      <c r="A20" s="4"/>
      <c r="B20" s="17"/>
      <c r="C20" s="164" t="s">
        <v>113</v>
      </c>
      <c r="D20" s="165" t="s">
        <v>114</v>
      </c>
      <c r="E20" s="165" t="s">
        <v>45</v>
      </c>
      <c r="F20" s="166" t="s">
        <v>115</v>
      </c>
      <c r="G20" s="165" t="s">
        <v>116</v>
      </c>
      <c r="I20" s="167" t="s">
        <v>117</v>
      </c>
      <c r="J20" s="40">
        <v>1</v>
      </c>
      <c r="K20" s="64"/>
      <c r="L20" s="64"/>
      <c r="M20" s="64"/>
      <c r="N20" s="80"/>
      <c r="O20" s="81"/>
      <c r="P20" s="80"/>
      <c r="Q20" s="81"/>
      <c r="R20" s="81"/>
      <c r="S20" s="81"/>
      <c r="T20" s="81"/>
      <c r="U20" s="81"/>
      <c r="V20" s="104"/>
    </row>
    <row r="21" ht="15.75" spans="1:22">
      <c r="A21" s="4"/>
      <c r="B21" s="17"/>
      <c r="C21" s="147" t="s">
        <v>118</v>
      </c>
      <c r="D21" s="148" t="s">
        <v>119</v>
      </c>
      <c r="E21" s="148" t="s">
        <v>84</v>
      </c>
      <c r="F21" s="149" t="s">
        <v>120</v>
      </c>
      <c r="G21" s="148" t="s">
        <v>51</v>
      </c>
      <c r="H21" s="24"/>
      <c r="I21" s="150" t="s">
        <v>121</v>
      </c>
      <c r="J21" s="23">
        <v>1</v>
      </c>
      <c r="K21" s="64"/>
      <c r="L21" s="64"/>
      <c r="M21" s="64"/>
      <c r="N21" s="80"/>
      <c r="O21" s="81"/>
      <c r="P21" s="80"/>
      <c r="Q21" s="81"/>
      <c r="R21" s="81"/>
      <c r="S21" s="81"/>
      <c r="T21" s="81"/>
      <c r="U21" s="81"/>
      <c r="V21" s="104"/>
    </row>
    <row r="22" ht="15.75" spans="1:22">
      <c r="A22" s="4"/>
      <c r="B22" s="17"/>
      <c r="C22" s="168" t="s">
        <v>122</v>
      </c>
      <c r="D22" s="148" t="s">
        <v>123</v>
      </c>
      <c r="E22" s="148" t="s">
        <v>124</v>
      </c>
      <c r="F22" s="149" t="s">
        <v>125</v>
      </c>
      <c r="G22" s="148" t="s">
        <v>56</v>
      </c>
      <c r="H22" s="24"/>
      <c r="I22" s="150" t="s">
        <v>126</v>
      </c>
      <c r="J22" s="23">
        <v>1</v>
      </c>
      <c r="K22" s="64"/>
      <c r="L22" s="64"/>
      <c r="M22" s="64"/>
      <c r="N22" s="80"/>
      <c r="O22" s="81"/>
      <c r="P22" s="80"/>
      <c r="Q22" s="81"/>
      <c r="R22" s="81"/>
      <c r="S22" s="81"/>
      <c r="T22" s="81"/>
      <c r="U22" s="81"/>
      <c r="V22" s="104"/>
    </row>
    <row r="23" ht="15.75" spans="1:22">
      <c r="A23" s="4"/>
      <c r="B23" s="17"/>
      <c r="C23" s="165" t="s">
        <v>127</v>
      </c>
      <c r="D23" s="165" t="s">
        <v>128</v>
      </c>
      <c r="E23" s="165" t="s">
        <v>84</v>
      </c>
      <c r="F23" s="166" t="s">
        <v>129</v>
      </c>
      <c r="G23" s="165" t="s">
        <v>51</v>
      </c>
      <c r="I23" s="167" t="s">
        <v>130</v>
      </c>
      <c r="J23" s="40">
        <v>1</v>
      </c>
      <c r="K23" s="64"/>
      <c r="L23" s="64"/>
      <c r="M23" s="64"/>
      <c r="N23" s="80"/>
      <c r="O23" s="81"/>
      <c r="P23" s="80"/>
      <c r="Q23" s="81"/>
      <c r="R23" s="81"/>
      <c r="S23" s="81"/>
      <c r="T23" s="81"/>
      <c r="U23" s="81"/>
      <c r="V23" s="104"/>
    </row>
    <row r="24" ht="15.75" spans="1:22">
      <c r="A24" s="4"/>
      <c r="B24" s="17"/>
      <c r="C24" s="169" t="s">
        <v>131</v>
      </c>
      <c r="D24" s="165" t="s">
        <v>132</v>
      </c>
      <c r="E24" s="165" t="s">
        <v>133</v>
      </c>
      <c r="F24" s="166" t="s">
        <v>134</v>
      </c>
      <c r="G24" s="165" t="s">
        <v>97</v>
      </c>
      <c r="I24" s="167" t="s">
        <v>135</v>
      </c>
      <c r="J24" s="40">
        <v>3</v>
      </c>
      <c r="K24" s="64"/>
      <c r="L24" s="64"/>
      <c r="M24" s="64"/>
      <c r="N24" s="80"/>
      <c r="O24" s="81"/>
      <c r="P24" s="80"/>
      <c r="Q24" s="81"/>
      <c r="R24" s="81"/>
      <c r="S24" s="81"/>
      <c r="T24" s="81"/>
      <c r="U24" s="81"/>
      <c r="V24" s="104"/>
    </row>
    <row r="25" ht="15.75" spans="1:22">
      <c r="A25" s="4"/>
      <c r="B25" s="17"/>
      <c r="C25" s="164" t="s">
        <v>136</v>
      </c>
      <c r="D25" s="165" t="s">
        <v>137</v>
      </c>
      <c r="E25" s="165" t="s">
        <v>84</v>
      </c>
      <c r="F25" s="166" t="s">
        <v>138</v>
      </c>
      <c r="G25" s="165" t="s">
        <v>51</v>
      </c>
      <c r="I25" s="167" t="s">
        <v>139</v>
      </c>
      <c r="J25" s="40">
        <v>1</v>
      </c>
      <c r="K25" s="64"/>
      <c r="L25" s="64"/>
      <c r="M25" s="64"/>
      <c r="N25" s="80"/>
      <c r="O25" s="81"/>
      <c r="P25" s="80"/>
      <c r="Q25" s="81"/>
      <c r="R25" s="81"/>
      <c r="S25" s="81"/>
      <c r="T25" s="81"/>
      <c r="U25" s="81"/>
      <c r="V25" s="104"/>
    </row>
    <row r="26" ht="15.75" spans="1:22">
      <c r="A26" s="4">
        <v>12</v>
      </c>
      <c r="B26" s="17"/>
      <c r="C26" s="159" t="s">
        <v>140</v>
      </c>
      <c r="D26" s="148" t="s">
        <v>141</v>
      </c>
      <c r="E26" s="160" t="s">
        <v>84</v>
      </c>
      <c r="F26" s="160" t="s">
        <v>142</v>
      </c>
      <c r="G26" s="160" t="s">
        <v>51</v>
      </c>
      <c r="H26" s="162" t="s">
        <v>80</v>
      </c>
      <c r="I26" s="160" t="s">
        <v>42</v>
      </c>
      <c r="J26" s="36">
        <v>3</v>
      </c>
      <c r="K26" s="64">
        <f t="shared" ref="K26:K69" si="0">J26*5</f>
        <v>15</v>
      </c>
      <c r="L26" s="64">
        <f t="shared" ref="L26:L69" si="1">J26*25</f>
        <v>75</v>
      </c>
      <c r="M26" s="64">
        <f t="shared" ref="M26:M69" si="2">J26*100</f>
        <v>300</v>
      </c>
      <c r="N26" s="80">
        <v>0.19</v>
      </c>
      <c r="O26" s="81">
        <f t="shared" ref="O26:O46" si="3">N26*J26</f>
        <v>0.57</v>
      </c>
      <c r="P26" s="80">
        <v>0.135</v>
      </c>
      <c r="Q26" s="81">
        <f t="shared" ref="Q26:Q52" si="4">P26*K26</f>
        <v>2.025</v>
      </c>
      <c r="R26" s="81">
        <v>0.0768</v>
      </c>
      <c r="S26" s="81">
        <f t="shared" ref="S26:S46" si="5">R26*L26</f>
        <v>5.76</v>
      </c>
      <c r="T26" s="81">
        <v>0.0637</v>
      </c>
      <c r="U26" s="81">
        <f t="shared" ref="U26:U46" si="6">T26*M26</f>
        <v>19.11</v>
      </c>
      <c r="V26" s="104"/>
    </row>
    <row r="27" ht="26.25" spans="1:22">
      <c r="A27" s="4">
        <v>13</v>
      </c>
      <c r="B27" s="17"/>
      <c r="C27" s="159" t="s">
        <v>143</v>
      </c>
      <c r="D27" s="170" t="s">
        <v>144</v>
      </c>
      <c r="E27" s="160" t="s">
        <v>60</v>
      </c>
      <c r="F27" s="160" t="s">
        <v>145</v>
      </c>
      <c r="G27" s="160" t="s">
        <v>146</v>
      </c>
      <c r="H27" s="162" t="s">
        <v>80</v>
      </c>
      <c r="I27" s="160" t="s">
        <v>147</v>
      </c>
      <c r="J27" s="36">
        <v>4</v>
      </c>
      <c r="K27" s="64">
        <f t="shared" si="0"/>
        <v>20</v>
      </c>
      <c r="L27" s="64">
        <f t="shared" si="1"/>
        <v>100</v>
      </c>
      <c r="M27" s="64">
        <f t="shared" si="2"/>
        <v>400</v>
      </c>
      <c r="N27" s="80">
        <v>0.27</v>
      </c>
      <c r="O27" s="81">
        <f t="shared" si="3"/>
        <v>1.08</v>
      </c>
      <c r="P27" s="80">
        <v>0.185</v>
      </c>
      <c r="Q27" s="81">
        <f t="shared" si="4"/>
        <v>3.7</v>
      </c>
      <c r="R27" s="81">
        <v>0.1047</v>
      </c>
      <c r="S27" s="81">
        <f t="shared" si="5"/>
        <v>10.47</v>
      </c>
      <c r="T27" s="81">
        <v>0.1047</v>
      </c>
      <c r="U27" s="81">
        <f t="shared" si="6"/>
        <v>41.88</v>
      </c>
      <c r="V27" s="105"/>
    </row>
    <row r="28" ht="15.75" spans="1:22">
      <c r="A28" s="4">
        <v>14</v>
      </c>
      <c r="B28" s="17"/>
      <c r="C28" s="144" t="s">
        <v>148</v>
      </c>
      <c r="D28" s="171" t="s">
        <v>149</v>
      </c>
      <c r="E28" s="146" t="s">
        <v>150</v>
      </c>
      <c r="F28" s="146" t="s">
        <v>151</v>
      </c>
      <c r="G28" s="146" t="s">
        <v>56</v>
      </c>
      <c r="H28" s="162" t="s">
        <v>80</v>
      </c>
      <c r="I28" s="146" t="s">
        <v>147</v>
      </c>
      <c r="J28" s="20">
        <v>4</v>
      </c>
      <c r="K28" s="88">
        <f t="shared" si="0"/>
        <v>20</v>
      </c>
      <c r="L28" s="64">
        <f t="shared" si="1"/>
        <v>100</v>
      </c>
      <c r="M28" s="64">
        <f t="shared" si="2"/>
        <v>400</v>
      </c>
      <c r="N28" s="89">
        <v>0.21</v>
      </c>
      <c r="O28" s="81">
        <f t="shared" si="3"/>
        <v>0.84</v>
      </c>
      <c r="P28" s="89">
        <v>0.149</v>
      </c>
      <c r="Q28" s="81">
        <f t="shared" si="4"/>
        <v>2.98</v>
      </c>
      <c r="R28" s="81">
        <v>0.0699</v>
      </c>
      <c r="S28" s="81">
        <f t="shared" si="5"/>
        <v>6.99</v>
      </c>
      <c r="T28" s="81">
        <v>0.0699</v>
      </c>
      <c r="U28" s="81">
        <f t="shared" si="6"/>
        <v>27.96</v>
      </c>
      <c r="V28" s="104"/>
    </row>
    <row r="29" ht="15.75" spans="1:22">
      <c r="A29" s="4">
        <v>15</v>
      </c>
      <c r="B29" s="17"/>
      <c r="C29" s="144" t="s">
        <v>152</v>
      </c>
      <c r="D29" s="161" t="s">
        <v>153</v>
      </c>
      <c r="E29" s="160" t="s">
        <v>84</v>
      </c>
      <c r="F29" s="160" t="s">
        <v>154</v>
      </c>
      <c r="G29" s="160" t="s">
        <v>62</v>
      </c>
      <c r="H29" s="162" t="s">
        <v>80</v>
      </c>
      <c r="I29" s="160" t="s">
        <v>155</v>
      </c>
      <c r="J29" s="36">
        <v>1</v>
      </c>
      <c r="K29" s="64">
        <f t="shared" si="0"/>
        <v>5</v>
      </c>
      <c r="L29" s="64">
        <f t="shared" si="1"/>
        <v>25</v>
      </c>
      <c r="M29" s="64">
        <f t="shared" si="2"/>
        <v>100</v>
      </c>
      <c r="N29" s="80">
        <v>0.11</v>
      </c>
      <c r="O29" s="81">
        <f t="shared" si="3"/>
        <v>0.11</v>
      </c>
      <c r="P29" s="80">
        <v>0.11</v>
      </c>
      <c r="Q29" s="81">
        <f t="shared" si="4"/>
        <v>0.55</v>
      </c>
      <c r="R29" s="81">
        <v>0.076</v>
      </c>
      <c r="S29" s="81">
        <f t="shared" si="5"/>
        <v>1.9</v>
      </c>
      <c r="T29" s="81">
        <v>0.0359</v>
      </c>
      <c r="U29" s="81">
        <f t="shared" si="6"/>
        <v>3.59</v>
      </c>
      <c r="V29" s="104"/>
    </row>
    <row r="30" ht="15.75" spans="1:22">
      <c r="A30" s="4">
        <v>16</v>
      </c>
      <c r="B30" s="17"/>
      <c r="C30" s="159" t="s">
        <v>82</v>
      </c>
      <c r="D30" s="161" t="s">
        <v>156</v>
      </c>
      <c r="E30" s="160" t="s">
        <v>84</v>
      </c>
      <c r="F30" s="160" t="s">
        <v>85</v>
      </c>
      <c r="G30" s="160" t="s">
        <v>56</v>
      </c>
      <c r="H30" s="162" t="s">
        <v>80</v>
      </c>
      <c r="I30" s="160" t="s">
        <v>157</v>
      </c>
      <c r="J30" s="36">
        <v>1</v>
      </c>
      <c r="K30" s="64">
        <f t="shared" si="0"/>
        <v>5</v>
      </c>
      <c r="L30" s="64">
        <f t="shared" si="1"/>
        <v>25</v>
      </c>
      <c r="M30" s="64">
        <f t="shared" si="2"/>
        <v>100</v>
      </c>
      <c r="N30" s="80">
        <v>0.21</v>
      </c>
      <c r="O30" s="81">
        <f t="shared" si="3"/>
        <v>0.21</v>
      </c>
      <c r="P30" s="80">
        <v>0.21</v>
      </c>
      <c r="Q30" s="81">
        <f t="shared" si="4"/>
        <v>1.05</v>
      </c>
      <c r="R30" s="81">
        <v>0.148</v>
      </c>
      <c r="S30" s="81">
        <f t="shared" si="5"/>
        <v>3.7</v>
      </c>
      <c r="T30" s="81">
        <v>0.0695</v>
      </c>
      <c r="U30" s="81">
        <f t="shared" si="6"/>
        <v>6.95</v>
      </c>
      <c r="V30" s="106" t="s">
        <v>158</v>
      </c>
    </row>
    <row r="31" ht="15.75" spans="1:22">
      <c r="A31" s="4">
        <v>17</v>
      </c>
      <c r="B31" s="46"/>
      <c r="C31" s="172" t="s">
        <v>159</v>
      </c>
      <c r="D31" s="173" t="s">
        <v>160</v>
      </c>
      <c r="E31" s="174" t="s">
        <v>161</v>
      </c>
      <c r="F31" s="174" t="s">
        <v>162</v>
      </c>
      <c r="G31" s="174" t="s">
        <v>56</v>
      </c>
      <c r="H31" s="50" t="s">
        <v>163</v>
      </c>
      <c r="I31" s="174" t="s">
        <v>164</v>
      </c>
      <c r="J31" s="49">
        <v>4</v>
      </c>
      <c r="K31" s="65">
        <f t="shared" si="0"/>
        <v>20</v>
      </c>
      <c r="L31" s="65">
        <f t="shared" si="1"/>
        <v>100</v>
      </c>
      <c r="M31" s="65">
        <f t="shared" si="2"/>
        <v>400</v>
      </c>
      <c r="N31" s="90">
        <v>0.1</v>
      </c>
      <c r="O31" s="91">
        <f t="shared" si="3"/>
        <v>0.4</v>
      </c>
      <c r="P31" s="90">
        <v>0.063</v>
      </c>
      <c r="Q31" s="91">
        <f t="shared" si="4"/>
        <v>1.26</v>
      </c>
      <c r="R31" s="91">
        <v>0.0282</v>
      </c>
      <c r="S31" s="91">
        <f t="shared" si="5"/>
        <v>2.82</v>
      </c>
      <c r="T31" s="91">
        <v>0.0282</v>
      </c>
      <c r="U31" s="91">
        <f t="shared" si="6"/>
        <v>11.28</v>
      </c>
      <c r="V31" s="107"/>
    </row>
    <row r="32" ht="15.75" spans="1:22">
      <c r="A32" s="4">
        <v>18</v>
      </c>
      <c r="B32" s="7" t="s">
        <v>165</v>
      </c>
      <c r="C32" s="137" t="s">
        <v>166</v>
      </c>
      <c r="D32" s="175" t="s">
        <v>167</v>
      </c>
      <c r="E32" s="138" t="s">
        <v>168</v>
      </c>
      <c r="F32" s="138" t="s">
        <v>169</v>
      </c>
      <c r="G32" s="138" t="s">
        <v>40</v>
      </c>
      <c r="H32" s="51" t="s">
        <v>170</v>
      </c>
      <c r="I32" s="138" t="s">
        <v>171</v>
      </c>
      <c r="J32" s="10">
        <v>1</v>
      </c>
      <c r="K32" s="66">
        <f t="shared" si="0"/>
        <v>5</v>
      </c>
      <c r="L32" s="66">
        <f t="shared" si="1"/>
        <v>25</v>
      </c>
      <c r="M32" s="66">
        <f t="shared" si="2"/>
        <v>100</v>
      </c>
      <c r="N32" s="92">
        <v>0.75</v>
      </c>
      <c r="O32" s="74">
        <f t="shared" si="3"/>
        <v>0.75</v>
      </c>
      <c r="P32" s="92">
        <v>0.75</v>
      </c>
      <c r="Q32" s="74">
        <f t="shared" si="4"/>
        <v>3.75</v>
      </c>
      <c r="R32" s="74">
        <v>0.661</v>
      </c>
      <c r="S32" s="74">
        <f t="shared" si="5"/>
        <v>16.525</v>
      </c>
      <c r="T32" s="74">
        <v>0.5065</v>
      </c>
      <c r="U32" s="74">
        <f t="shared" si="6"/>
        <v>50.65</v>
      </c>
      <c r="V32" s="108" t="s">
        <v>172</v>
      </c>
    </row>
    <row r="33" ht="26.25" spans="1:22">
      <c r="A33" s="4">
        <v>19</v>
      </c>
      <c r="B33" s="17"/>
      <c r="C33" s="159" t="s">
        <v>173</v>
      </c>
      <c r="D33" s="161" t="s">
        <v>174</v>
      </c>
      <c r="E33" s="160" t="s">
        <v>175</v>
      </c>
      <c r="F33" s="160" t="s">
        <v>176</v>
      </c>
      <c r="G33" s="160" t="s">
        <v>177</v>
      </c>
      <c r="H33" s="52" t="s">
        <v>178</v>
      </c>
      <c r="I33" s="160" t="s">
        <v>171</v>
      </c>
      <c r="J33" s="36">
        <v>8</v>
      </c>
      <c r="K33" s="64">
        <f t="shared" si="0"/>
        <v>40</v>
      </c>
      <c r="L33" s="64">
        <f t="shared" si="1"/>
        <v>200</v>
      </c>
      <c r="M33" s="64">
        <f t="shared" si="2"/>
        <v>800</v>
      </c>
      <c r="N33" s="89">
        <v>0.42</v>
      </c>
      <c r="O33" s="81">
        <f t="shared" si="3"/>
        <v>3.36</v>
      </c>
      <c r="P33" s="89">
        <v>0.313</v>
      </c>
      <c r="Q33" s="81">
        <f t="shared" si="4"/>
        <v>12.52</v>
      </c>
      <c r="R33" s="81">
        <v>0.1948</v>
      </c>
      <c r="S33" s="81">
        <f t="shared" si="5"/>
        <v>38.96</v>
      </c>
      <c r="T33" s="81">
        <v>0.13328</v>
      </c>
      <c r="U33" s="81">
        <f t="shared" si="6"/>
        <v>106.624</v>
      </c>
      <c r="V33" s="105" t="s">
        <v>172</v>
      </c>
    </row>
    <row r="34" ht="15.75" spans="1:22">
      <c r="A34" s="4">
        <v>20</v>
      </c>
      <c r="B34" s="17"/>
      <c r="C34" s="159" t="s">
        <v>179</v>
      </c>
      <c r="D34" s="161" t="s">
        <v>180</v>
      </c>
      <c r="E34" s="160" t="s">
        <v>26</v>
      </c>
      <c r="F34" s="160" t="s">
        <v>181</v>
      </c>
      <c r="G34" s="160" t="s">
        <v>182</v>
      </c>
      <c r="H34" s="52" t="s">
        <v>183</v>
      </c>
      <c r="I34" s="160" t="s">
        <v>171</v>
      </c>
      <c r="J34" s="36">
        <v>1</v>
      </c>
      <c r="K34" s="64">
        <f t="shared" si="0"/>
        <v>5</v>
      </c>
      <c r="L34" s="64">
        <f t="shared" si="1"/>
        <v>25</v>
      </c>
      <c r="M34" s="64">
        <f t="shared" si="2"/>
        <v>100</v>
      </c>
      <c r="N34" s="80">
        <v>0.5</v>
      </c>
      <c r="O34" s="81">
        <f t="shared" si="3"/>
        <v>0.5</v>
      </c>
      <c r="P34" s="80">
        <v>0.5</v>
      </c>
      <c r="Q34" s="81">
        <f t="shared" si="4"/>
        <v>2.5</v>
      </c>
      <c r="R34" s="81">
        <v>0.5</v>
      </c>
      <c r="S34" s="81">
        <f t="shared" si="5"/>
        <v>12.5</v>
      </c>
      <c r="T34" s="81">
        <v>0.5</v>
      </c>
      <c r="U34" s="81">
        <f t="shared" si="6"/>
        <v>50</v>
      </c>
      <c r="V34" s="104"/>
    </row>
    <row r="35" ht="15.75" spans="1:22">
      <c r="A35" s="4">
        <v>21</v>
      </c>
      <c r="B35" s="46"/>
      <c r="C35" s="172" t="s">
        <v>184</v>
      </c>
      <c r="D35" s="173" t="s">
        <v>185</v>
      </c>
      <c r="E35" s="174" t="s">
        <v>186</v>
      </c>
      <c r="F35" s="174" t="s">
        <v>187</v>
      </c>
      <c r="G35" s="174" t="s">
        <v>188</v>
      </c>
      <c r="H35" s="174" t="s">
        <v>80</v>
      </c>
      <c r="I35" s="174" t="s">
        <v>171</v>
      </c>
      <c r="J35" s="49">
        <v>1</v>
      </c>
      <c r="K35" s="65">
        <f t="shared" si="0"/>
        <v>5</v>
      </c>
      <c r="L35" s="65">
        <f t="shared" si="1"/>
        <v>25</v>
      </c>
      <c r="M35" s="65">
        <f t="shared" si="2"/>
        <v>100</v>
      </c>
      <c r="N35" s="93">
        <v>0.37</v>
      </c>
      <c r="O35" s="91">
        <f t="shared" si="3"/>
        <v>0.37</v>
      </c>
      <c r="P35" s="93">
        <v>0.37</v>
      </c>
      <c r="Q35" s="91">
        <f t="shared" si="4"/>
        <v>1.85</v>
      </c>
      <c r="R35" s="91">
        <v>0.293</v>
      </c>
      <c r="S35" s="91">
        <f t="shared" si="5"/>
        <v>7.325</v>
      </c>
      <c r="T35" s="91">
        <v>0.1314</v>
      </c>
      <c r="U35" s="91">
        <f t="shared" si="6"/>
        <v>13.14</v>
      </c>
      <c r="V35" s="109"/>
    </row>
    <row r="36" ht="15.75" spans="1:22">
      <c r="A36" s="4">
        <v>22</v>
      </c>
      <c r="B36" s="7" t="s">
        <v>189</v>
      </c>
      <c r="C36" s="176" t="s">
        <v>190</v>
      </c>
      <c r="D36" s="177" t="s">
        <v>191</v>
      </c>
      <c r="E36" s="178" t="s">
        <v>26</v>
      </c>
      <c r="F36" s="178" t="s">
        <v>192</v>
      </c>
      <c r="G36" s="179" t="s">
        <v>193</v>
      </c>
      <c r="H36" s="178" t="s">
        <v>80</v>
      </c>
      <c r="I36" s="178" t="s">
        <v>171</v>
      </c>
      <c r="J36" s="55">
        <v>1</v>
      </c>
      <c r="K36" s="94">
        <f t="shared" si="0"/>
        <v>5</v>
      </c>
      <c r="L36" s="94">
        <f t="shared" si="1"/>
        <v>25</v>
      </c>
      <c r="M36" s="94">
        <f t="shared" si="2"/>
        <v>100</v>
      </c>
      <c r="N36" s="95">
        <v>0.29</v>
      </c>
      <c r="O36" s="96">
        <f t="shared" si="3"/>
        <v>0.29</v>
      </c>
      <c r="P36" s="95">
        <v>0.29</v>
      </c>
      <c r="Q36" s="96">
        <f t="shared" si="4"/>
        <v>1.45</v>
      </c>
      <c r="R36" s="96">
        <v>0.266</v>
      </c>
      <c r="S36" s="96">
        <f t="shared" si="5"/>
        <v>6.65</v>
      </c>
      <c r="T36" s="96">
        <v>0.2214</v>
      </c>
      <c r="U36" s="96">
        <f t="shared" si="6"/>
        <v>22.14</v>
      </c>
      <c r="V36" s="110" t="s">
        <v>158</v>
      </c>
    </row>
    <row r="37" ht="15.75" spans="1:22">
      <c r="A37" s="4">
        <v>23</v>
      </c>
      <c r="B37" s="57" t="s">
        <v>194</v>
      </c>
      <c r="C37" s="180" t="s">
        <v>195</v>
      </c>
      <c r="D37" s="181" t="s">
        <v>196</v>
      </c>
      <c r="E37" s="182" t="s">
        <v>26</v>
      </c>
      <c r="F37" s="182" t="s">
        <v>197</v>
      </c>
      <c r="G37" s="183" t="s">
        <v>198</v>
      </c>
      <c r="H37" s="182" t="s">
        <v>80</v>
      </c>
      <c r="I37" s="182" t="s">
        <v>171</v>
      </c>
      <c r="J37" s="60">
        <v>1</v>
      </c>
      <c r="K37" s="97">
        <f t="shared" si="0"/>
        <v>5</v>
      </c>
      <c r="L37" s="97">
        <f t="shared" si="1"/>
        <v>25</v>
      </c>
      <c r="M37" s="97">
        <f t="shared" si="2"/>
        <v>100</v>
      </c>
      <c r="N37" s="98">
        <v>2.75</v>
      </c>
      <c r="O37" s="99">
        <f t="shared" si="3"/>
        <v>2.75</v>
      </c>
      <c r="P37" s="98">
        <v>2.75</v>
      </c>
      <c r="Q37" s="99">
        <f t="shared" si="4"/>
        <v>13.75</v>
      </c>
      <c r="R37" s="99">
        <v>2.3292</v>
      </c>
      <c r="S37" s="99">
        <f t="shared" si="5"/>
        <v>58.23</v>
      </c>
      <c r="T37" s="99">
        <v>1.7787</v>
      </c>
      <c r="U37" s="99">
        <f t="shared" si="6"/>
        <v>177.87</v>
      </c>
      <c r="V37" s="111"/>
    </row>
    <row r="38" ht="26.25" spans="1:22">
      <c r="A38" s="4">
        <v>24</v>
      </c>
      <c r="B38" s="57" t="s">
        <v>199</v>
      </c>
      <c r="C38" s="180" t="s">
        <v>200</v>
      </c>
      <c r="D38" s="181" t="s">
        <v>201</v>
      </c>
      <c r="E38" s="182" t="s">
        <v>202</v>
      </c>
      <c r="F38" s="182" t="s">
        <v>203</v>
      </c>
      <c r="G38" s="183" t="s">
        <v>204</v>
      </c>
      <c r="H38" s="182" t="s">
        <v>80</v>
      </c>
      <c r="I38" s="182" t="s">
        <v>171</v>
      </c>
      <c r="J38" s="60">
        <v>8</v>
      </c>
      <c r="K38" s="97">
        <f t="shared" si="0"/>
        <v>40</v>
      </c>
      <c r="L38" s="97">
        <f t="shared" si="1"/>
        <v>200</v>
      </c>
      <c r="M38" s="97">
        <f t="shared" si="2"/>
        <v>800</v>
      </c>
      <c r="N38" s="98">
        <v>1.89</v>
      </c>
      <c r="O38" s="99">
        <f t="shared" si="3"/>
        <v>15.12</v>
      </c>
      <c r="P38" s="98">
        <v>1.604</v>
      </c>
      <c r="Q38" s="99">
        <f t="shared" si="4"/>
        <v>64.16</v>
      </c>
      <c r="R38" s="99">
        <v>1.3667</v>
      </c>
      <c r="S38" s="99">
        <f t="shared" si="5"/>
        <v>273.34</v>
      </c>
      <c r="T38" s="99">
        <v>1.12288</v>
      </c>
      <c r="U38" s="99">
        <f t="shared" si="6"/>
        <v>898.304</v>
      </c>
      <c r="V38" s="112" t="s">
        <v>158</v>
      </c>
    </row>
    <row r="39" ht="15.75" spans="1:22">
      <c r="A39" s="4">
        <v>25</v>
      </c>
      <c r="B39" s="7" t="s">
        <v>205</v>
      </c>
      <c r="C39" s="184" t="s">
        <v>206</v>
      </c>
      <c r="D39" s="175" t="s">
        <v>207</v>
      </c>
      <c r="E39" s="138" t="s">
        <v>161</v>
      </c>
      <c r="F39" s="138" t="s">
        <v>208</v>
      </c>
      <c r="G39" s="138" t="s">
        <v>51</v>
      </c>
      <c r="H39" s="138" t="s">
        <v>80</v>
      </c>
      <c r="I39" s="138" t="s">
        <v>209</v>
      </c>
      <c r="J39" s="10">
        <v>2</v>
      </c>
      <c r="K39" s="66">
        <f t="shared" si="0"/>
        <v>10</v>
      </c>
      <c r="L39" s="66">
        <f t="shared" si="1"/>
        <v>50</v>
      </c>
      <c r="M39" s="66">
        <f t="shared" si="2"/>
        <v>200</v>
      </c>
      <c r="N39" s="92">
        <v>0.1</v>
      </c>
      <c r="O39" s="74">
        <f t="shared" si="3"/>
        <v>0.2</v>
      </c>
      <c r="P39" s="92">
        <v>0.02</v>
      </c>
      <c r="Q39" s="74">
        <f t="shared" si="4"/>
        <v>0.2</v>
      </c>
      <c r="R39" s="74">
        <v>0.02</v>
      </c>
      <c r="S39" s="74">
        <f t="shared" si="5"/>
        <v>1</v>
      </c>
      <c r="T39" s="74">
        <v>0.008</v>
      </c>
      <c r="U39" s="74">
        <f t="shared" si="6"/>
        <v>1.6</v>
      </c>
      <c r="V39" s="113" t="s">
        <v>158</v>
      </c>
    </row>
    <row r="40" ht="15.75" spans="1:22">
      <c r="A40" s="4">
        <v>26</v>
      </c>
      <c r="B40" s="17"/>
      <c r="C40" s="159" t="s">
        <v>210</v>
      </c>
      <c r="D40" s="161" t="s">
        <v>211</v>
      </c>
      <c r="E40" s="160" t="s">
        <v>161</v>
      </c>
      <c r="F40" s="160" t="s">
        <v>212</v>
      </c>
      <c r="G40" s="160" t="s">
        <v>51</v>
      </c>
      <c r="H40" s="185" t="s">
        <v>80</v>
      </c>
      <c r="I40" s="160" t="s">
        <v>213</v>
      </c>
      <c r="J40" s="36">
        <v>2</v>
      </c>
      <c r="K40" s="64">
        <f t="shared" si="0"/>
        <v>10</v>
      </c>
      <c r="L40" s="64">
        <f t="shared" si="1"/>
        <v>50</v>
      </c>
      <c r="M40" s="64">
        <f t="shared" si="2"/>
        <v>200</v>
      </c>
      <c r="N40" s="89">
        <v>0.1</v>
      </c>
      <c r="O40" s="81">
        <f t="shared" si="3"/>
        <v>0.2</v>
      </c>
      <c r="P40" s="89">
        <v>0.018</v>
      </c>
      <c r="Q40" s="81">
        <f t="shared" si="4"/>
        <v>0.18</v>
      </c>
      <c r="R40" s="81">
        <v>0.0098</v>
      </c>
      <c r="S40" s="81">
        <f t="shared" si="5"/>
        <v>0.49</v>
      </c>
      <c r="T40" s="81">
        <v>0.0073</v>
      </c>
      <c r="U40" s="81">
        <f t="shared" si="6"/>
        <v>1.46</v>
      </c>
      <c r="V40" s="104"/>
    </row>
    <row r="41" ht="15.75" spans="1:22">
      <c r="A41" s="4">
        <v>27</v>
      </c>
      <c r="B41" s="17"/>
      <c r="C41" s="159" t="s">
        <v>214</v>
      </c>
      <c r="D41" s="161" t="s">
        <v>215</v>
      </c>
      <c r="E41" s="160" t="s">
        <v>161</v>
      </c>
      <c r="F41" s="160" t="s">
        <v>216</v>
      </c>
      <c r="G41" s="160" t="s">
        <v>51</v>
      </c>
      <c r="H41" s="185" t="s">
        <v>80</v>
      </c>
      <c r="I41" s="160" t="s">
        <v>217</v>
      </c>
      <c r="J41" s="36">
        <v>1</v>
      </c>
      <c r="K41" s="64">
        <f t="shared" si="0"/>
        <v>5</v>
      </c>
      <c r="L41" s="64">
        <f t="shared" si="1"/>
        <v>25</v>
      </c>
      <c r="M41" s="64">
        <f t="shared" si="2"/>
        <v>100</v>
      </c>
      <c r="N41" s="89">
        <v>0.1</v>
      </c>
      <c r="O41" s="81">
        <f t="shared" si="3"/>
        <v>0.1</v>
      </c>
      <c r="P41" s="89">
        <v>0.1</v>
      </c>
      <c r="Q41" s="81">
        <f t="shared" si="4"/>
        <v>0.5</v>
      </c>
      <c r="R41" s="81">
        <v>0.024</v>
      </c>
      <c r="S41" s="81">
        <f t="shared" si="5"/>
        <v>0.6</v>
      </c>
      <c r="T41" s="81">
        <v>0.0097</v>
      </c>
      <c r="U41" s="81">
        <f t="shared" si="6"/>
        <v>0.97</v>
      </c>
      <c r="V41" s="106" t="s">
        <v>158</v>
      </c>
    </row>
    <row r="42" ht="15.75" spans="1:22">
      <c r="A42" s="4">
        <v>28</v>
      </c>
      <c r="B42" s="17"/>
      <c r="C42" s="144" t="s">
        <v>218</v>
      </c>
      <c r="D42" s="161" t="s">
        <v>219</v>
      </c>
      <c r="E42" s="160" t="s">
        <v>161</v>
      </c>
      <c r="F42" s="160" t="s">
        <v>220</v>
      </c>
      <c r="G42" s="160" t="s">
        <v>51</v>
      </c>
      <c r="H42" s="185" t="s">
        <v>80</v>
      </c>
      <c r="I42" s="160" t="s">
        <v>221</v>
      </c>
      <c r="J42" s="36">
        <v>1</v>
      </c>
      <c r="K42" s="64">
        <f t="shared" si="0"/>
        <v>5</v>
      </c>
      <c r="L42" s="64">
        <f t="shared" si="1"/>
        <v>25</v>
      </c>
      <c r="M42" s="64">
        <f t="shared" si="2"/>
        <v>100</v>
      </c>
      <c r="N42" s="80">
        <v>0.1</v>
      </c>
      <c r="O42" s="81">
        <f t="shared" si="3"/>
        <v>0.1</v>
      </c>
      <c r="P42" s="80">
        <v>0.1</v>
      </c>
      <c r="Q42" s="81">
        <f t="shared" si="4"/>
        <v>0.5</v>
      </c>
      <c r="R42" s="81">
        <v>0.02</v>
      </c>
      <c r="S42" s="81">
        <f t="shared" si="5"/>
        <v>0.5</v>
      </c>
      <c r="T42" s="81">
        <v>0.008</v>
      </c>
      <c r="U42" s="81">
        <f t="shared" si="6"/>
        <v>0.8</v>
      </c>
      <c r="V42" s="114"/>
    </row>
    <row r="43" ht="15.75" spans="1:22">
      <c r="A43" s="4">
        <v>29</v>
      </c>
      <c r="B43" s="17"/>
      <c r="C43" s="159" t="s">
        <v>222</v>
      </c>
      <c r="D43" s="161" t="s">
        <v>223</v>
      </c>
      <c r="E43" s="160" t="s">
        <v>161</v>
      </c>
      <c r="F43" s="160" t="s">
        <v>224</v>
      </c>
      <c r="G43" s="160" t="s">
        <v>51</v>
      </c>
      <c r="H43" s="185" t="s">
        <v>80</v>
      </c>
      <c r="I43" s="160" t="s">
        <v>225</v>
      </c>
      <c r="J43" s="36">
        <v>4</v>
      </c>
      <c r="K43" s="64">
        <f t="shared" si="0"/>
        <v>20</v>
      </c>
      <c r="L43" s="64">
        <f t="shared" si="1"/>
        <v>100</v>
      </c>
      <c r="M43" s="64">
        <f t="shared" si="2"/>
        <v>400</v>
      </c>
      <c r="N43" s="80">
        <v>0.1</v>
      </c>
      <c r="O43" s="81">
        <f t="shared" si="3"/>
        <v>0.4</v>
      </c>
      <c r="P43" s="80">
        <v>0.024</v>
      </c>
      <c r="Q43" s="81">
        <f t="shared" si="4"/>
        <v>0.48</v>
      </c>
      <c r="R43" s="81">
        <v>0.0097</v>
      </c>
      <c r="S43" s="81">
        <f t="shared" si="5"/>
        <v>0.97</v>
      </c>
      <c r="T43" s="81">
        <v>0.0097</v>
      </c>
      <c r="U43" s="81">
        <f t="shared" si="6"/>
        <v>3.88</v>
      </c>
      <c r="V43" s="104"/>
    </row>
    <row r="44" ht="15.75" spans="1:22">
      <c r="A44" s="4">
        <v>30</v>
      </c>
      <c r="B44" s="17"/>
      <c r="C44" s="144" t="s">
        <v>226</v>
      </c>
      <c r="D44" s="161" t="s">
        <v>227</v>
      </c>
      <c r="E44" s="160" t="s">
        <v>228</v>
      </c>
      <c r="F44" s="160" t="s">
        <v>229</v>
      </c>
      <c r="G44" s="64" t="s">
        <v>230</v>
      </c>
      <c r="H44" s="64" t="s">
        <v>231</v>
      </c>
      <c r="I44" s="160" t="s">
        <v>232</v>
      </c>
      <c r="J44" s="36">
        <v>4</v>
      </c>
      <c r="K44" s="64">
        <f t="shared" si="0"/>
        <v>20</v>
      </c>
      <c r="L44" s="64">
        <f t="shared" si="1"/>
        <v>100</v>
      </c>
      <c r="M44" s="64">
        <f t="shared" si="2"/>
        <v>400</v>
      </c>
      <c r="N44" s="80">
        <v>1.2</v>
      </c>
      <c r="O44" s="81">
        <f t="shared" si="3"/>
        <v>4.8</v>
      </c>
      <c r="P44" s="80">
        <v>1.059</v>
      </c>
      <c r="Q44" s="81">
        <f t="shared" si="4"/>
        <v>21.18</v>
      </c>
      <c r="R44" s="81">
        <v>0.7685</v>
      </c>
      <c r="S44" s="81">
        <f t="shared" si="5"/>
        <v>76.85</v>
      </c>
      <c r="T44" s="81">
        <v>0.64896</v>
      </c>
      <c r="U44" s="81">
        <f t="shared" si="6"/>
        <v>259.584</v>
      </c>
      <c r="V44" s="104"/>
    </row>
    <row r="45" ht="26.25" spans="1:22">
      <c r="A45" s="4">
        <v>31</v>
      </c>
      <c r="B45" s="17"/>
      <c r="C45" s="159" t="s">
        <v>233</v>
      </c>
      <c r="D45" s="161" t="s">
        <v>234</v>
      </c>
      <c r="E45" s="160" t="s">
        <v>161</v>
      </c>
      <c r="F45" s="160" t="s">
        <v>235</v>
      </c>
      <c r="G45" s="64" t="s">
        <v>51</v>
      </c>
      <c r="H45" s="186" t="s">
        <v>80</v>
      </c>
      <c r="I45" s="160" t="s">
        <v>236</v>
      </c>
      <c r="J45" s="36">
        <v>8</v>
      </c>
      <c r="K45" s="64">
        <f t="shared" si="0"/>
        <v>40</v>
      </c>
      <c r="L45" s="64">
        <f t="shared" si="1"/>
        <v>200</v>
      </c>
      <c r="M45" s="64">
        <f t="shared" si="2"/>
        <v>800</v>
      </c>
      <c r="N45" s="80">
        <v>0.1</v>
      </c>
      <c r="O45" s="81">
        <f t="shared" si="3"/>
        <v>0.8</v>
      </c>
      <c r="P45" s="80">
        <v>0.024</v>
      </c>
      <c r="Q45" s="81">
        <f t="shared" si="4"/>
        <v>0.96</v>
      </c>
      <c r="R45" s="81">
        <v>0.0097</v>
      </c>
      <c r="S45" s="81">
        <f t="shared" si="5"/>
        <v>1.94</v>
      </c>
      <c r="T45" s="81">
        <v>0.0097</v>
      </c>
      <c r="U45" s="81">
        <f t="shared" si="6"/>
        <v>7.76</v>
      </c>
      <c r="V45" s="104"/>
    </row>
    <row r="46" ht="15.75" spans="1:22">
      <c r="A46" s="4">
        <v>32</v>
      </c>
      <c r="B46" s="17"/>
      <c r="C46" s="159" t="s">
        <v>237</v>
      </c>
      <c r="D46" s="161" t="s">
        <v>238</v>
      </c>
      <c r="E46" s="160" t="s">
        <v>161</v>
      </c>
      <c r="F46" s="160" t="s">
        <v>239</v>
      </c>
      <c r="G46" s="64" t="s">
        <v>51</v>
      </c>
      <c r="H46" s="64" t="s">
        <v>240</v>
      </c>
      <c r="I46" s="160" t="s">
        <v>241</v>
      </c>
      <c r="J46" s="36">
        <v>1</v>
      </c>
      <c r="K46" s="64">
        <f t="shared" si="0"/>
        <v>5</v>
      </c>
      <c r="L46" s="64">
        <f t="shared" si="1"/>
        <v>25</v>
      </c>
      <c r="M46" s="64">
        <f t="shared" si="2"/>
        <v>100</v>
      </c>
      <c r="N46" s="80">
        <v>0.1</v>
      </c>
      <c r="O46" s="81">
        <f t="shared" si="3"/>
        <v>0.1</v>
      </c>
      <c r="P46" s="80">
        <v>0.1</v>
      </c>
      <c r="Q46" s="81">
        <f t="shared" si="4"/>
        <v>0.5</v>
      </c>
      <c r="R46" s="81">
        <v>0.029</v>
      </c>
      <c r="S46" s="81">
        <f t="shared" si="5"/>
        <v>0.725</v>
      </c>
      <c r="T46" s="81">
        <v>0.0117</v>
      </c>
      <c r="U46" s="81">
        <f t="shared" si="6"/>
        <v>1.17</v>
      </c>
      <c r="V46" s="104"/>
    </row>
    <row r="47" ht="15.75" spans="1:22">
      <c r="A47" s="4">
        <v>33</v>
      </c>
      <c r="B47" s="17"/>
      <c r="C47" s="159" t="s">
        <v>242</v>
      </c>
      <c r="D47" s="161" t="s">
        <v>243</v>
      </c>
      <c r="E47" s="160" t="s">
        <v>161</v>
      </c>
      <c r="F47" s="160" t="s">
        <v>244</v>
      </c>
      <c r="G47" s="64" t="s">
        <v>51</v>
      </c>
      <c r="H47" s="186" t="s">
        <v>80</v>
      </c>
      <c r="I47" s="160" t="s">
        <v>245</v>
      </c>
      <c r="J47" s="36">
        <v>1</v>
      </c>
      <c r="K47" s="64">
        <f t="shared" si="0"/>
        <v>5</v>
      </c>
      <c r="L47" s="64">
        <f t="shared" si="1"/>
        <v>25</v>
      </c>
      <c r="M47" s="64">
        <f t="shared" si="2"/>
        <v>100</v>
      </c>
      <c r="N47" s="80">
        <v>0.1</v>
      </c>
      <c r="O47" s="81">
        <f t="shared" ref="O47:O69" si="7">N47*J47</f>
        <v>0.1</v>
      </c>
      <c r="P47" s="80">
        <v>0.1</v>
      </c>
      <c r="Q47" s="81">
        <f t="shared" si="4"/>
        <v>0.5</v>
      </c>
      <c r="R47" s="81">
        <v>0.024</v>
      </c>
      <c r="S47" s="81">
        <f t="shared" ref="S47:S69" si="8">R47*L47</f>
        <v>0.6</v>
      </c>
      <c r="T47" s="81">
        <v>0.0097</v>
      </c>
      <c r="U47" s="81">
        <f t="shared" ref="U47:U69" si="9">T47*M47</f>
        <v>0.97</v>
      </c>
      <c r="V47" s="104"/>
    </row>
    <row r="48" ht="15.75" spans="1:22">
      <c r="A48" s="4">
        <v>34</v>
      </c>
      <c r="B48" s="17"/>
      <c r="C48" s="159" t="s">
        <v>246</v>
      </c>
      <c r="D48" s="161" t="s">
        <v>247</v>
      </c>
      <c r="E48" s="160" t="s">
        <v>161</v>
      </c>
      <c r="F48" s="160" t="s">
        <v>248</v>
      </c>
      <c r="G48" s="64" t="s">
        <v>249</v>
      </c>
      <c r="H48" s="186" t="s">
        <v>80</v>
      </c>
      <c r="I48" s="160" t="s">
        <v>250</v>
      </c>
      <c r="J48" s="36">
        <v>1</v>
      </c>
      <c r="K48" s="64">
        <f t="shared" si="0"/>
        <v>5</v>
      </c>
      <c r="L48" s="64">
        <f t="shared" si="1"/>
        <v>25</v>
      </c>
      <c r="M48" s="64">
        <f t="shared" si="2"/>
        <v>100</v>
      </c>
      <c r="N48" s="80">
        <v>0.1</v>
      </c>
      <c r="O48" s="81">
        <f t="shared" si="7"/>
        <v>0.1</v>
      </c>
      <c r="P48" s="80">
        <v>0.1</v>
      </c>
      <c r="Q48" s="81">
        <f t="shared" si="4"/>
        <v>0.5</v>
      </c>
      <c r="R48" s="81">
        <v>0.05</v>
      </c>
      <c r="S48" s="81">
        <f t="shared" si="8"/>
        <v>1.25</v>
      </c>
      <c r="T48" s="81">
        <v>0.0202</v>
      </c>
      <c r="U48" s="81">
        <f t="shared" si="9"/>
        <v>2.02</v>
      </c>
      <c r="V48" s="104"/>
    </row>
    <row r="49" ht="15.75" spans="1:22">
      <c r="A49" s="4">
        <v>35</v>
      </c>
      <c r="B49" s="17"/>
      <c r="C49" s="159" t="s">
        <v>251</v>
      </c>
      <c r="D49" s="161" t="s">
        <v>252</v>
      </c>
      <c r="E49" s="160" t="s">
        <v>161</v>
      </c>
      <c r="F49" s="160" t="s">
        <v>253</v>
      </c>
      <c r="G49" s="64" t="s">
        <v>51</v>
      </c>
      <c r="H49" s="186" t="s">
        <v>80</v>
      </c>
      <c r="I49" s="160" t="s">
        <v>254</v>
      </c>
      <c r="J49" s="36">
        <v>1</v>
      </c>
      <c r="K49" s="64">
        <f t="shared" si="0"/>
        <v>5</v>
      </c>
      <c r="L49" s="64">
        <f t="shared" si="1"/>
        <v>25</v>
      </c>
      <c r="M49" s="64">
        <f t="shared" si="2"/>
        <v>100</v>
      </c>
      <c r="N49" s="80">
        <v>0.1</v>
      </c>
      <c r="O49" s="81">
        <f t="shared" si="7"/>
        <v>0.1</v>
      </c>
      <c r="P49" s="80">
        <v>0.1</v>
      </c>
      <c r="Q49" s="81">
        <f t="shared" si="4"/>
        <v>0.5</v>
      </c>
      <c r="R49" s="81">
        <v>0.024</v>
      </c>
      <c r="S49" s="81">
        <f t="shared" si="8"/>
        <v>0.6</v>
      </c>
      <c r="T49" s="81">
        <v>0.0097</v>
      </c>
      <c r="U49" s="81">
        <f t="shared" si="9"/>
        <v>0.97</v>
      </c>
      <c r="V49" s="104"/>
    </row>
    <row r="50" ht="15.75" spans="1:22">
      <c r="A50" s="4">
        <v>36</v>
      </c>
      <c r="B50" s="17"/>
      <c r="C50" s="159" t="s">
        <v>255</v>
      </c>
      <c r="D50" s="161" t="s">
        <v>256</v>
      </c>
      <c r="E50" s="160" t="s">
        <v>161</v>
      </c>
      <c r="F50" s="160" t="s">
        <v>257</v>
      </c>
      <c r="G50" s="64" t="s">
        <v>249</v>
      </c>
      <c r="H50" s="186" t="s">
        <v>80</v>
      </c>
      <c r="I50" s="160" t="s">
        <v>258</v>
      </c>
      <c r="J50" s="36">
        <v>1</v>
      </c>
      <c r="K50" s="64">
        <f t="shared" si="0"/>
        <v>5</v>
      </c>
      <c r="L50" s="64">
        <f t="shared" si="1"/>
        <v>25</v>
      </c>
      <c r="M50" s="64">
        <f t="shared" si="2"/>
        <v>100</v>
      </c>
      <c r="N50" s="80">
        <v>0.1</v>
      </c>
      <c r="O50" s="81">
        <f t="shared" si="7"/>
        <v>0.1</v>
      </c>
      <c r="P50" s="80">
        <v>0.1</v>
      </c>
      <c r="Q50" s="81">
        <f t="shared" si="4"/>
        <v>0.5</v>
      </c>
      <c r="R50" s="81">
        <v>0.073</v>
      </c>
      <c r="S50" s="81">
        <f t="shared" si="8"/>
        <v>1.825</v>
      </c>
      <c r="T50" s="81">
        <v>0.0299</v>
      </c>
      <c r="U50" s="81">
        <f t="shared" si="9"/>
        <v>2.99</v>
      </c>
      <c r="V50" s="104"/>
    </row>
    <row r="51" ht="15.75" spans="1:22">
      <c r="A51" s="4">
        <v>37</v>
      </c>
      <c r="B51" s="17"/>
      <c r="C51" s="159" t="s">
        <v>259</v>
      </c>
      <c r="D51" s="161" t="s">
        <v>260</v>
      </c>
      <c r="E51" s="160" t="s">
        <v>161</v>
      </c>
      <c r="F51" s="160" t="s">
        <v>261</v>
      </c>
      <c r="G51" s="64" t="s">
        <v>51</v>
      </c>
      <c r="H51" s="64" t="s">
        <v>262</v>
      </c>
      <c r="I51" s="160" t="s">
        <v>263</v>
      </c>
      <c r="J51" s="36">
        <v>1</v>
      </c>
      <c r="K51" s="64">
        <f t="shared" si="0"/>
        <v>5</v>
      </c>
      <c r="L51" s="64">
        <f t="shared" si="1"/>
        <v>25</v>
      </c>
      <c r="M51" s="64">
        <f t="shared" si="2"/>
        <v>100</v>
      </c>
      <c r="N51" s="80">
        <v>0.38</v>
      </c>
      <c r="O51" s="81">
        <f t="shared" si="7"/>
        <v>0.38</v>
      </c>
      <c r="P51" s="80">
        <v>0.38</v>
      </c>
      <c r="Q51" s="81">
        <f t="shared" si="4"/>
        <v>1.9</v>
      </c>
      <c r="R51" s="81">
        <v>0.275</v>
      </c>
      <c r="S51" s="81">
        <f t="shared" si="8"/>
        <v>6.875</v>
      </c>
      <c r="T51" s="81">
        <v>0.11</v>
      </c>
      <c r="U51" s="81">
        <f t="shared" si="9"/>
        <v>11</v>
      </c>
      <c r="V51" s="104"/>
    </row>
    <row r="52" ht="15.75" spans="1:22">
      <c r="A52" s="4">
        <v>38</v>
      </c>
      <c r="B52" s="46"/>
      <c r="C52" s="172" t="s">
        <v>264</v>
      </c>
      <c r="D52" s="173" t="s">
        <v>265</v>
      </c>
      <c r="E52" s="174" t="s">
        <v>161</v>
      </c>
      <c r="F52" s="174" t="s">
        <v>266</v>
      </c>
      <c r="G52" s="65" t="s">
        <v>51</v>
      </c>
      <c r="H52" s="187" t="s">
        <v>80</v>
      </c>
      <c r="I52" s="174" t="s">
        <v>267</v>
      </c>
      <c r="J52" s="49">
        <v>1</v>
      </c>
      <c r="K52" s="65">
        <f t="shared" si="0"/>
        <v>5</v>
      </c>
      <c r="L52" s="65">
        <f t="shared" si="1"/>
        <v>25</v>
      </c>
      <c r="M52" s="65">
        <f t="shared" si="2"/>
        <v>100</v>
      </c>
      <c r="N52" s="90">
        <v>0.1</v>
      </c>
      <c r="O52" s="91">
        <f t="shared" si="7"/>
        <v>0.1</v>
      </c>
      <c r="P52" s="90">
        <v>0.1</v>
      </c>
      <c r="Q52" s="91">
        <f t="shared" si="4"/>
        <v>0.5</v>
      </c>
      <c r="R52" s="91">
        <v>0.024</v>
      </c>
      <c r="S52" s="91">
        <f t="shared" si="8"/>
        <v>0.6</v>
      </c>
      <c r="T52" s="91">
        <v>0.0097</v>
      </c>
      <c r="U52" s="91">
        <f t="shared" si="9"/>
        <v>0.97</v>
      </c>
      <c r="V52" s="107"/>
    </row>
    <row r="53" ht="26.25" spans="1:22">
      <c r="A53" s="4">
        <v>39</v>
      </c>
      <c r="B53" s="7" t="s">
        <v>268</v>
      </c>
      <c r="C53" s="184" t="s">
        <v>269</v>
      </c>
      <c r="D53" s="175" t="s">
        <v>270</v>
      </c>
      <c r="E53" s="138" t="s">
        <v>26</v>
      </c>
      <c r="F53" s="138" t="s">
        <v>271</v>
      </c>
      <c r="G53" s="188" t="s">
        <v>80</v>
      </c>
      <c r="H53" s="188" t="s">
        <v>80</v>
      </c>
      <c r="I53" s="138" t="s">
        <v>272</v>
      </c>
      <c r="J53" s="10">
        <v>1</v>
      </c>
      <c r="K53" s="66">
        <f t="shared" si="0"/>
        <v>5</v>
      </c>
      <c r="L53" s="66">
        <f t="shared" si="1"/>
        <v>25</v>
      </c>
      <c r="M53" s="66">
        <f t="shared" si="2"/>
        <v>100</v>
      </c>
      <c r="N53" s="73">
        <v>0.036</v>
      </c>
      <c r="O53" s="74">
        <f t="shared" si="7"/>
        <v>0.036</v>
      </c>
      <c r="P53" s="73">
        <v>1.8</v>
      </c>
      <c r="Q53" s="74">
        <v>1.8</v>
      </c>
      <c r="R53" s="74">
        <v>1.8</v>
      </c>
      <c r="S53" s="74">
        <f t="shared" si="8"/>
        <v>45</v>
      </c>
      <c r="T53" s="74">
        <v>1.8</v>
      </c>
      <c r="U53" s="74">
        <f t="shared" si="9"/>
        <v>180</v>
      </c>
      <c r="V53" s="102" t="s">
        <v>273</v>
      </c>
    </row>
    <row r="54" ht="26.25" spans="1:22">
      <c r="A54" s="4">
        <v>40</v>
      </c>
      <c r="B54" s="46"/>
      <c r="C54" s="172" t="s">
        <v>274</v>
      </c>
      <c r="D54" s="173" t="s">
        <v>275</v>
      </c>
      <c r="E54" s="174" t="s">
        <v>26</v>
      </c>
      <c r="F54" s="174" t="s">
        <v>276</v>
      </c>
      <c r="G54" s="187" t="s">
        <v>277</v>
      </c>
      <c r="H54" s="189" t="s">
        <v>80</v>
      </c>
      <c r="I54" s="174" t="s">
        <v>272</v>
      </c>
      <c r="J54" s="49">
        <v>2</v>
      </c>
      <c r="K54" s="65">
        <f t="shared" si="0"/>
        <v>10</v>
      </c>
      <c r="L54" s="65">
        <f t="shared" si="1"/>
        <v>50</v>
      </c>
      <c r="M54" s="65">
        <f t="shared" si="2"/>
        <v>200</v>
      </c>
      <c r="N54" s="90">
        <v>0.34</v>
      </c>
      <c r="O54" s="91">
        <f t="shared" si="7"/>
        <v>0.68</v>
      </c>
      <c r="P54" s="90">
        <v>0.26</v>
      </c>
      <c r="Q54" s="91">
        <f t="shared" ref="Q54:Q69" si="10">P54*K54</f>
        <v>2.6</v>
      </c>
      <c r="R54" s="91"/>
      <c r="S54" s="91">
        <f t="shared" si="8"/>
        <v>0</v>
      </c>
      <c r="T54" s="91"/>
      <c r="U54" s="91">
        <f t="shared" si="9"/>
        <v>0</v>
      </c>
      <c r="V54" s="107"/>
    </row>
    <row r="55" ht="15.75" spans="1:22">
      <c r="A55" s="4">
        <v>41</v>
      </c>
      <c r="B55" s="7" t="s">
        <v>278</v>
      </c>
      <c r="C55" s="184" t="s">
        <v>279</v>
      </c>
      <c r="D55" s="175" t="s">
        <v>280</v>
      </c>
      <c r="E55" s="138" t="s">
        <v>281</v>
      </c>
      <c r="F55" s="138" t="s">
        <v>282</v>
      </c>
      <c r="G55" s="68" t="s">
        <v>283</v>
      </c>
      <c r="H55" s="188" t="s">
        <v>80</v>
      </c>
      <c r="I55" s="138" t="s">
        <v>272</v>
      </c>
      <c r="J55" s="10">
        <v>1</v>
      </c>
      <c r="K55" s="66">
        <f t="shared" si="0"/>
        <v>5</v>
      </c>
      <c r="L55" s="66">
        <f t="shared" si="1"/>
        <v>25</v>
      </c>
      <c r="M55" s="66">
        <f t="shared" si="2"/>
        <v>100</v>
      </c>
      <c r="N55" s="73">
        <v>0.47</v>
      </c>
      <c r="O55" s="74">
        <f t="shared" si="7"/>
        <v>0.47</v>
      </c>
      <c r="P55" s="73">
        <v>0.47</v>
      </c>
      <c r="Q55" s="74">
        <f t="shared" si="10"/>
        <v>2.35</v>
      </c>
      <c r="R55" s="115">
        <v>0.3508</v>
      </c>
      <c r="S55" s="74">
        <f t="shared" si="8"/>
        <v>8.77</v>
      </c>
      <c r="T55" s="115">
        <v>0.2612</v>
      </c>
      <c r="U55" s="74">
        <f t="shared" si="9"/>
        <v>26.12</v>
      </c>
      <c r="V55" s="116" t="s">
        <v>158</v>
      </c>
    </row>
    <row r="56" ht="15.75" spans="1:22">
      <c r="A56" s="4">
        <v>42</v>
      </c>
      <c r="B56" s="17"/>
      <c r="C56" s="159" t="s">
        <v>284</v>
      </c>
      <c r="D56" s="161" t="s">
        <v>285</v>
      </c>
      <c r="E56" s="160" t="s">
        <v>286</v>
      </c>
      <c r="F56" s="160" t="s">
        <v>287</v>
      </c>
      <c r="G56" s="64" t="s">
        <v>288</v>
      </c>
      <c r="H56" s="190" t="s">
        <v>80</v>
      </c>
      <c r="I56" s="160" t="s">
        <v>272</v>
      </c>
      <c r="J56" s="36">
        <v>1</v>
      </c>
      <c r="K56" s="64">
        <f t="shared" si="0"/>
        <v>5</v>
      </c>
      <c r="L56" s="64">
        <f t="shared" si="1"/>
        <v>25</v>
      </c>
      <c r="M56" s="64">
        <f t="shared" si="2"/>
        <v>100</v>
      </c>
      <c r="N56" s="80">
        <v>0.5</v>
      </c>
      <c r="O56" s="81">
        <f t="shared" si="7"/>
        <v>0.5</v>
      </c>
      <c r="P56" s="80">
        <v>0.5</v>
      </c>
      <c r="Q56" s="81">
        <f t="shared" si="10"/>
        <v>2.5</v>
      </c>
      <c r="R56" s="81">
        <v>0.4</v>
      </c>
      <c r="S56" s="81">
        <f t="shared" si="8"/>
        <v>10</v>
      </c>
      <c r="T56" s="81">
        <v>0.38</v>
      </c>
      <c r="U56" s="81">
        <f t="shared" si="9"/>
        <v>38</v>
      </c>
      <c r="V56" s="104"/>
    </row>
    <row r="57" ht="15.75" spans="1:22">
      <c r="A57" s="4">
        <v>43</v>
      </c>
      <c r="B57" s="17"/>
      <c r="C57" s="159" t="s">
        <v>289</v>
      </c>
      <c r="D57" s="161" t="s">
        <v>290</v>
      </c>
      <c r="E57" s="160" t="s">
        <v>291</v>
      </c>
      <c r="F57" s="160" t="s">
        <v>292</v>
      </c>
      <c r="G57" s="64" t="s">
        <v>293</v>
      </c>
      <c r="H57" s="190" t="s">
        <v>80</v>
      </c>
      <c r="I57" s="160" t="s">
        <v>272</v>
      </c>
      <c r="J57" s="36">
        <v>1</v>
      </c>
      <c r="K57" s="64">
        <f t="shared" si="0"/>
        <v>5</v>
      </c>
      <c r="L57" s="64">
        <f t="shared" si="1"/>
        <v>25</v>
      </c>
      <c r="M57" s="64">
        <f t="shared" si="2"/>
        <v>100</v>
      </c>
      <c r="N57" s="80">
        <v>2.21</v>
      </c>
      <c r="O57" s="81">
        <f t="shared" si="7"/>
        <v>2.21</v>
      </c>
      <c r="P57" s="80">
        <v>2.21</v>
      </c>
      <c r="Q57" s="81">
        <f t="shared" si="10"/>
        <v>11.05</v>
      </c>
      <c r="R57" s="81">
        <v>1.876</v>
      </c>
      <c r="S57" s="81">
        <f t="shared" si="8"/>
        <v>46.9</v>
      </c>
      <c r="T57" s="81">
        <v>1.5985</v>
      </c>
      <c r="U57" s="81">
        <f t="shared" si="9"/>
        <v>159.85</v>
      </c>
      <c r="V57" s="104"/>
    </row>
    <row r="58" ht="15.75" spans="1:22">
      <c r="A58" s="4">
        <v>44</v>
      </c>
      <c r="B58" s="17"/>
      <c r="C58" s="159" t="s">
        <v>294</v>
      </c>
      <c r="D58" s="161" t="s">
        <v>295</v>
      </c>
      <c r="E58" s="160" t="s">
        <v>296</v>
      </c>
      <c r="F58" s="160" t="s">
        <v>297</v>
      </c>
      <c r="G58" s="64" t="s">
        <v>298</v>
      </c>
      <c r="H58" s="190" t="s">
        <v>80</v>
      </c>
      <c r="I58" s="160" t="s">
        <v>272</v>
      </c>
      <c r="J58" s="36">
        <v>1</v>
      </c>
      <c r="K58" s="64">
        <f t="shared" si="0"/>
        <v>5</v>
      </c>
      <c r="L58" s="64">
        <f t="shared" si="1"/>
        <v>25</v>
      </c>
      <c r="M58" s="64">
        <f t="shared" si="2"/>
        <v>100</v>
      </c>
      <c r="N58" s="80">
        <v>0.43</v>
      </c>
      <c r="O58" s="81">
        <f t="shared" si="7"/>
        <v>0.43</v>
      </c>
      <c r="P58" s="80">
        <v>0.43</v>
      </c>
      <c r="Q58" s="81">
        <f t="shared" si="10"/>
        <v>2.15</v>
      </c>
      <c r="R58" s="81">
        <v>0.294</v>
      </c>
      <c r="S58" s="81">
        <f t="shared" si="8"/>
        <v>7.35</v>
      </c>
      <c r="T58" s="81">
        <v>0.203</v>
      </c>
      <c r="U58" s="81">
        <f t="shared" si="9"/>
        <v>20.3</v>
      </c>
      <c r="V58" s="104"/>
    </row>
    <row r="59" ht="15.75" spans="1:22">
      <c r="A59" s="4">
        <v>45</v>
      </c>
      <c r="B59" s="17"/>
      <c r="C59" s="159" t="s">
        <v>299</v>
      </c>
      <c r="D59" s="161" t="s">
        <v>300</v>
      </c>
      <c r="E59" s="160" t="s">
        <v>301</v>
      </c>
      <c r="F59" s="160" t="s">
        <v>302</v>
      </c>
      <c r="G59" s="64" t="s">
        <v>303</v>
      </c>
      <c r="H59" s="190" t="s">
        <v>80</v>
      </c>
      <c r="I59" s="160" t="s">
        <v>272</v>
      </c>
      <c r="J59" s="36">
        <v>1</v>
      </c>
      <c r="K59" s="64">
        <f t="shared" si="0"/>
        <v>5</v>
      </c>
      <c r="L59" s="64">
        <f t="shared" si="1"/>
        <v>25</v>
      </c>
      <c r="M59" s="64">
        <f t="shared" si="2"/>
        <v>100</v>
      </c>
      <c r="N59" s="80">
        <v>0.65</v>
      </c>
      <c r="O59" s="81">
        <f t="shared" si="7"/>
        <v>0.65</v>
      </c>
      <c r="P59" s="80">
        <v>0.65</v>
      </c>
      <c r="Q59" s="81">
        <f t="shared" si="10"/>
        <v>3.25</v>
      </c>
      <c r="R59" s="81">
        <v>0.5228</v>
      </c>
      <c r="S59" s="81">
        <f t="shared" si="8"/>
        <v>13.07</v>
      </c>
      <c r="T59" s="81">
        <v>0.4182</v>
      </c>
      <c r="U59" s="81">
        <f t="shared" si="9"/>
        <v>41.82</v>
      </c>
      <c r="V59" s="104"/>
    </row>
    <row r="60" ht="15.75" spans="1:22">
      <c r="A60" s="4">
        <v>46</v>
      </c>
      <c r="B60" s="17"/>
      <c r="C60" s="159" t="s">
        <v>304</v>
      </c>
      <c r="D60" s="161" t="s">
        <v>305</v>
      </c>
      <c r="E60" s="160" t="s">
        <v>306</v>
      </c>
      <c r="F60" s="160" t="s">
        <v>307</v>
      </c>
      <c r="G60" s="64"/>
      <c r="H60" s="190" t="s">
        <v>80</v>
      </c>
      <c r="I60" s="160" t="s">
        <v>272</v>
      </c>
      <c r="J60" s="36">
        <v>1</v>
      </c>
      <c r="K60" s="64">
        <f t="shared" si="0"/>
        <v>5</v>
      </c>
      <c r="L60" s="64">
        <f t="shared" si="1"/>
        <v>25</v>
      </c>
      <c r="M60" s="64">
        <f t="shared" si="2"/>
        <v>100</v>
      </c>
      <c r="N60" s="80">
        <v>6.63</v>
      </c>
      <c r="O60" s="81">
        <f t="shared" si="7"/>
        <v>6.63</v>
      </c>
      <c r="P60" s="80">
        <v>6.63</v>
      </c>
      <c r="Q60" s="81">
        <f t="shared" si="10"/>
        <v>33.15</v>
      </c>
      <c r="R60" s="81">
        <v>5.6288</v>
      </c>
      <c r="S60" s="81">
        <f t="shared" si="8"/>
        <v>140.72</v>
      </c>
      <c r="T60" s="81">
        <v>4.8781</v>
      </c>
      <c r="U60" s="81">
        <f t="shared" si="9"/>
        <v>487.81</v>
      </c>
      <c r="V60" s="104"/>
    </row>
    <row r="61" ht="15.75" spans="1:22">
      <c r="A61" s="4">
        <v>47</v>
      </c>
      <c r="B61" s="46"/>
      <c r="C61" s="172" t="s">
        <v>308</v>
      </c>
      <c r="D61" s="173" t="s">
        <v>309</v>
      </c>
      <c r="E61" s="174" t="s">
        <v>310</v>
      </c>
      <c r="F61" s="174" t="s">
        <v>311</v>
      </c>
      <c r="G61" s="65" t="s">
        <v>312</v>
      </c>
      <c r="H61" s="189" t="s">
        <v>80</v>
      </c>
      <c r="I61" s="174" t="s">
        <v>272</v>
      </c>
      <c r="J61" s="49">
        <v>1</v>
      </c>
      <c r="K61" s="65">
        <f t="shared" si="0"/>
        <v>5</v>
      </c>
      <c r="L61" s="65">
        <f t="shared" si="1"/>
        <v>25</v>
      </c>
      <c r="M61" s="65">
        <f t="shared" si="2"/>
        <v>100</v>
      </c>
      <c r="N61" s="90">
        <v>2.31</v>
      </c>
      <c r="O61" s="91">
        <f t="shared" si="7"/>
        <v>2.31</v>
      </c>
      <c r="P61" s="90">
        <v>2.31</v>
      </c>
      <c r="Q61" s="91">
        <f t="shared" si="10"/>
        <v>11.55</v>
      </c>
      <c r="R61" s="91">
        <v>1.96</v>
      </c>
      <c r="S61" s="91">
        <f t="shared" si="8"/>
        <v>49</v>
      </c>
      <c r="T61" s="91">
        <v>1.6699</v>
      </c>
      <c r="U61" s="91">
        <f t="shared" si="9"/>
        <v>166.99</v>
      </c>
      <c r="V61" s="107"/>
    </row>
    <row r="62" ht="15.75" spans="1:22">
      <c r="A62" s="4">
        <v>48</v>
      </c>
      <c r="B62" s="7" t="s">
        <v>313</v>
      </c>
      <c r="C62" s="184" t="s">
        <v>314</v>
      </c>
      <c r="D62" s="138" t="s">
        <v>315</v>
      </c>
      <c r="E62" s="138" t="s">
        <v>26</v>
      </c>
      <c r="F62" s="138" t="s">
        <v>316</v>
      </c>
      <c r="G62" s="66" t="s">
        <v>317</v>
      </c>
      <c r="H62" s="188" t="s">
        <v>80</v>
      </c>
      <c r="I62" s="138" t="s">
        <v>272</v>
      </c>
      <c r="J62" s="10">
        <v>1</v>
      </c>
      <c r="K62" s="66">
        <f t="shared" si="0"/>
        <v>5</v>
      </c>
      <c r="L62" s="66">
        <f t="shared" si="1"/>
        <v>25</v>
      </c>
      <c r="M62" s="66">
        <f t="shared" si="2"/>
        <v>100</v>
      </c>
      <c r="N62" s="73">
        <v>1.8448</v>
      </c>
      <c r="O62" s="74">
        <f t="shared" si="7"/>
        <v>1.8448</v>
      </c>
      <c r="P62" s="73">
        <v>1.8448</v>
      </c>
      <c r="Q62" s="74">
        <f t="shared" si="10"/>
        <v>9.224</v>
      </c>
      <c r="R62" s="74">
        <v>1.3489</v>
      </c>
      <c r="S62" s="74">
        <f t="shared" si="8"/>
        <v>33.7225</v>
      </c>
      <c r="T62" s="74">
        <v>1.3489</v>
      </c>
      <c r="U62" s="74">
        <f t="shared" si="9"/>
        <v>134.89</v>
      </c>
      <c r="V62" s="102"/>
    </row>
    <row r="63" ht="26.25" spans="1:22">
      <c r="A63" s="4">
        <v>49</v>
      </c>
      <c r="B63" s="17"/>
      <c r="C63" s="159" t="s">
        <v>318</v>
      </c>
      <c r="D63" s="160" t="s">
        <v>319</v>
      </c>
      <c r="E63" s="160" t="s">
        <v>26</v>
      </c>
      <c r="F63" s="160" t="s">
        <v>320</v>
      </c>
      <c r="G63" s="64" t="s">
        <v>321</v>
      </c>
      <c r="H63" s="190" t="s">
        <v>80</v>
      </c>
      <c r="I63" s="160" t="s">
        <v>272</v>
      </c>
      <c r="J63" s="36">
        <v>2</v>
      </c>
      <c r="K63" s="64">
        <f t="shared" si="0"/>
        <v>10</v>
      </c>
      <c r="L63" s="64">
        <f t="shared" si="1"/>
        <v>50</v>
      </c>
      <c r="M63" s="64">
        <f t="shared" si="2"/>
        <v>200</v>
      </c>
      <c r="N63" s="80">
        <v>1.92</v>
      </c>
      <c r="O63" s="81">
        <f t="shared" si="7"/>
        <v>3.84</v>
      </c>
      <c r="P63" s="80">
        <v>1.744</v>
      </c>
      <c r="Q63" s="81">
        <f t="shared" si="10"/>
        <v>17.44</v>
      </c>
      <c r="R63" s="81">
        <v>1.566</v>
      </c>
      <c r="S63" s="81">
        <f t="shared" si="8"/>
        <v>78.3</v>
      </c>
      <c r="T63" s="81">
        <v>1.49483</v>
      </c>
      <c r="U63" s="81">
        <f t="shared" si="9"/>
        <v>298.966</v>
      </c>
      <c r="V63" s="104"/>
    </row>
    <row r="64" ht="15.75" spans="1:22">
      <c r="A64" s="4">
        <v>50</v>
      </c>
      <c r="B64" s="17"/>
      <c r="C64" s="159" t="s">
        <v>322</v>
      </c>
      <c r="D64" s="160" t="s">
        <v>323</v>
      </c>
      <c r="E64" s="160" t="s">
        <v>26</v>
      </c>
      <c r="F64" s="160" t="s">
        <v>324</v>
      </c>
      <c r="G64" s="64" t="s">
        <v>325</v>
      </c>
      <c r="H64" s="190" t="s">
        <v>80</v>
      </c>
      <c r="I64" s="160" t="s">
        <v>272</v>
      </c>
      <c r="J64" s="36">
        <v>1</v>
      </c>
      <c r="K64" s="64">
        <f t="shared" si="0"/>
        <v>5</v>
      </c>
      <c r="L64" s="64">
        <f t="shared" si="1"/>
        <v>25</v>
      </c>
      <c r="M64" s="64">
        <f t="shared" si="2"/>
        <v>100</v>
      </c>
      <c r="N64" s="80">
        <v>1.29</v>
      </c>
      <c r="O64" s="81">
        <f t="shared" si="7"/>
        <v>1.29</v>
      </c>
      <c r="P64" s="80">
        <v>1.29</v>
      </c>
      <c r="Q64" s="81">
        <f t="shared" si="10"/>
        <v>6.45</v>
      </c>
      <c r="R64" s="81">
        <v>1.133</v>
      </c>
      <c r="S64" s="81">
        <f t="shared" si="8"/>
        <v>28.325</v>
      </c>
      <c r="T64" s="81">
        <v>0.9777</v>
      </c>
      <c r="U64" s="81">
        <f t="shared" si="9"/>
        <v>97.77</v>
      </c>
      <c r="V64" s="104"/>
    </row>
    <row r="65" ht="15.75" spans="1:22">
      <c r="A65" s="4">
        <v>51</v>
      </c>
      <c r="B65" s="17"/>
      <c r="C65" s="191" t="s">
        <v>326</v>
      </c>
      <c r="D65" s="192" t="s">
        <v>327</v>
      </c>
      <c r="E65" s="192" t="s">
        <v>26</v>
      </c>
      <c r="F65" s="192" t="s">
        <v>328</v>
      </c>
      <c r="G65" s="118" t="s">
        <v>329</v>
      </c>
      <c r="H65" s="193" t="s">
        <v>80</v>
      </c>
      <c r="I65" s="192" t="s">
        <v>272</v>
      </c>
      <c r="J65" s="118">
        <v>1</v>
      </c>
      <c r="K65" s="118">
        <f t="shared" si="0"/>
        <v>5</v>
      </c>
      <c r="L65" s="118">
        <f t="shared" si="1"/>
        <v>25</v>
      </c>
      <c r="M65" s="118">
        <f t="shared" si="2"/>
        <v>100</v>
      </c>
      <c r="N65" s="123"/>
      <c r="O65" s="124">
        <f t="shared" si="7"/>
        <v>0</v>
      </c>
      <c r="P65" s="123"/>
      <c r="Q65" s="124">
        <f t="shared" si="10"/>
        <v>0</v>
      </c>
      <c r="R65" s="124"/>
      <c r="S65" s="124">
        <f t="shared" si="8"/>
        <v>0</v>
      </c>
      <c r="T65" s="124"/>
      <c r="U65" s="124">
        <f t="shared" si="9"/>
        <v>0</v>
      </c>
      <c r="V65" s="133" t="s">
        <v>330</v>
      </c>
    </row>
    <row r="66" ht="15.75" spans="1:22">
      <c r="A66" s="4">
        <v>52</v>
      </c>
      <c r="B66" s="17"/>
      <c r="C66" s="159" t="s">
        <v>331</v>
      </c>
      <c r="D66" s="160" t="s">
        <v>332</v>
      </c>
      <c r="E66" s="160" t="s">
        <v>26</v>
      </c>
      <c r="F66" s="160" t="s">
        <v>333</v>
      </c>
      <c r="G66" s="64" t="s">
        <v>334</v>
      </c>
      <c r="H66" s="190" t="s">
        <v>80</v>
      </c>
      <c r="I66" s="160" t="s">
        <v>272</v>
      </c>
      <c r="J66" s="36">
        <v>2</v>
      </c>
      <c r="K66" s="64">
        <f t="shared" si="0"/>
        <v>10</v>
      </c>
      <c r="L66" s="64">
        <f t="shared" si="1"/>
        <v>50</v>
      </c>
      <c r="M66" s="64">
        <f t="shared" si="2"/>
        <v>200</v>
      </c>
      <c r="N66" s="80">
        <v>1.5</v>
      </c>
      <c r="O66" s="81">
        <f t="shared" si="7"/>
        <v>3</v>
      </c>
      <c r="P66" s="80">
        <v>1.5</v>
      </c>
      <c r="Q66" s="81">
        <f t="shared" si="10"/>
        <v>15</v>
      </c>
      <c r="R66" s="81">
        <v>1.5</v>
      </c>
      <c r="S66" s="81">
        <f t="shared" si="8"/>
        <v>75</v>
      </c>
      <c r="T66" s="81">
        <v>1.5</v>
      </c>
      <c r="U66" s="81">
        <f t="shared" si="9"/>
        <v>300</v>
      </c>
      <c r="V66" s="104"/>
    </row>
    <row r="67" ht="15.75" spans="1:22">
      <c r="A67" s="4">
        <v>53</v>
      </c>
      <c r="B67" s="17"/>
      <c r="C67" s="159" t="s">
        <v>335</v>
      </c>
      <c r="D67" s="160" t="s">
        <v>336</v>
      </c>
      <c r="E67" s="160" t="s">
        <v>337</v>
      </c>
      <c r="F67" s="36">
        <v>61300211121</v>
      </c>
      <c r="G67" s="64" t="s">
        <v>338</v>
      </c>
      <c r="H67" s="190" t="s">
        <v>80</v>
      </c>
      <c r="I67" s="160" t="s">
        <v>272</v>
      </c>
      <c r="J67" s="36">
        <v>2</v>
      </c>
      <c r="K67" s="64">
        <f t="shared" si="0"/>
        <v>10</v>
      </c>
      <c r="L67" s="64">
        <f t="shared" si="1"/>
        <v>50</v>
      </c>
      <c r="M67" s="64">
        <f t="shared" si="2"/>
        <v>200</v>
      </c>
      <c r="N67" s="80">
        <v>0.13</v>
      </c>
      <c r="O67" s="81">
        <f t="shared" si="7"/>
        <v>0.26</v>
      </c>
      <c r="P67" s="80">
        <v>0.106</v>
      </c>
      <c r="Q67" s="81">
        <f t="shared" si="10"/>
        <v>1.06</v>
      </c>
      <c r="R67" s="134">
        <v>0.074</v>
      </c>
      <c r="S67" s="81">
        <f t="shared" si="8"/>
        <v>3.7</v>
      </c>
      <c r="T67" s="134">
        <v>0.067</v>
      </c>
      <c r="U67" s="81">
        <f t="shared" si="9"/>
        <v>13.4</v>
      </c>
      <c r="V67" s="135"/>
    </row>
    <row r="68" ht="15.75" spans="1:22">
      <c r="A68" s="4">
        <v>54</v>
      </c>
      <c r="B68" s="17"/>
      <c r="C68" s="191" t="s">
        <v>339</v>
      </c>
      <c r="D68" s="192" t="s">
        <v>340</v>
      </c>
      <c r="E68" s="192" t="s">
        <v>341</v>
      </c>
      <c r="F68" s="192" t="s">
        <v>341</v>
      </c>
      <c r="G68" s="118"/>
      <c r="H68" s="118"/>
      <c r="I68" s="194" t="s">
        <v>272</v>
      </c>
      <c r="J68" s="118">
        <v>4</v>
      </c>
      <c r="K68" s="118">
        <f t="shared" si="0"/>
        <v>20</v>
      </c>
      <c r="L68" s="64">
        <f t="shared" si="1"/>
        <v>100</v>
      </c>
      <c r="M68" s="64">
        <f t="shared" si="2"/>
        <v>400</v>
      </c>
      <c r="N68" s="118"/>
      <c r="O68" s="124">
        <f t="shared" si="7"/>
        <v>0</v>
      </c>
      <c r="P68" s="123"/>
      <c r="Q68" s="124">
        <f t="shared" si="10"/>
        <v>0</v>
      </c>
      <c r="R68" s="124"/>
      <c r="S68" s="124">
        <f t="shared" si="8"/>
        <v>0</v>
      </c>
      <c r="T68" s="124"/>
      <c r="U68" s="124">
        <f t="shared" si="9"/>
        <v>0</v>
      </c>
      <c r="V68" s="133" t="s">
        <v>330</v>
      </c>
    </row>
    <row r="69" ht="15.75" spans="1:22">
      <c r="A69" s="4">
        <v>55</v>
      </c>
      <c r="B69" s="46"/>
      <c r="C69" s="195" t="s">
        <v>342</v>
      </c>
      <c r="D69" s="196" t="s">
        <v>343</v>
      </c>
      <c r="E69" s="196" t="s">
        <v>344</v>
      </c>
      <c r="F69" s="196" t="s">
        <v>344</v>
      </c>
      <c r="G69" s="121"/>
      <c r="H69" s="121"/>
      <c r="I69" s="197" t="s">
        <v>272</v>
      </c>
      <c r="J69" s="121">
        <v>1</v>
      </c>
      <c r="K69" s="121">
        <f t="shared" si="0"/>
        <v>5</v>
      </c>
      <c r="L69" s="65">
        <f t="shared" si="1"/>
        <v>25</v>
      </c>
      <c r="M69" s="65">
        <f t="shared" si="2"/>
        <v>100</v>
      </c>
      <c r="N69" s="121"/>
      <c r="O69" s="127">
        <f t="shared" si="7"/>
        <v>0</v>
      </c>
      <c r="P69" s="128"/>
      <c r="Q69" s="127">
        <f t="shared" si="10"/>
        <v>0</v>
      </c>
      <c r="R69" s="127"/>
      <c r="S69" s="127">
        <f t="shared" si="8"/>
        <v>0</v>
      </c>
      <c r="T69" s="127"/>
      <c r="U69" s="127">
        <f t="shared" si="9"/>
        <v>0</v>
      </c>
      <c r="V69" s="136" t="s">
        <v>330</v>
      </c>
    </row>
    <row r="70" ht="19.5" spans="3:21">
      <c r="C70" s="122"/>
      <c r="D70" s="122"/>
      <c r="E70" s="122"/>
      <c r="F70" s="122"/>
      <c r="G70" s="122"/>
      <c r="H70" s="122"/>
      <c r="I70" s="122"/>
      <c r="J70" s="129" t="s">
        <v>345</v>
      </c>
      <c r="K70" s="129"/>
      <c r="L70" s="129"/>
      <c r="M70" s="129"/>
      <c r="O70" s="130">
        <f>SUM(O3:O67)</f>
        <v>68.8108</v>
      </c>
      <c r="Q70" s="130">
        <f>SUM(Q3:Q67)</f>
        <v>304.394</v>
      </c>
      <c r="S70" s="130">
        <f>SUM(S3:S69)</f>
        <v>1243.5025</v>
      </c>
      <c r="U70" s="130">
        <f>SUM(U3:U69)</f>
        <v>4202.864</v>
      </c>
    </row>
    <row r="71" ht="18.75" spans="10:21">
      <c r="J71" s="131" t="s">
        <v>346</v>
      </c>
      <c r="K71" s="131"/>
      <c r="L71" s="131"/>
      <c r="M71" s="131"/>
      <c r="O71" s="132"/>
      <c r="Q71" s="132">
        <f>Q70/5</f>
        <v>60.8788</v>
      </c>
      <c r="S71" s="132">
        <f>S70/25</f>
        <v>49.7401</v>
      </c>
      <c r="U71" s="132">
        <f>U70/100</f>
        <v>42.02864</v>
      </c>
    </row>
  </sheetData>
  <mergeCells count="9">
    <mergeCell ref="A1:V1"/>
    <mergeCell ref="J70:M70"/>
    <mergeCell ref="J71:M71"/>
    <mergeCell ref="B3:B31"/>
    <mergeCell ref="B32:B35"/>
    <mergeCell ref="B39:B52"/>
    <mergeCell ref="B53:B54"/>
    <mergeCell ref="B55:B61"/>
    <mergeCell ref="B62:B69"/>
  </mergeCells>
  <conditionalFormatting sqref="O7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{db2344da-847d-453c-b0e9-97f97f75575d}</x14:id>
        </ext>
      </extLst>
    </cfRule>
  </conditionalFormatting>
  <conditionalFormatting sqref="Q7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{c89776cb-a98b-4c64-b76f-a1d96f4580e6}</x14:id>
        </ext>
      </extLst>
    </cfRule>
  </conditionalFormatting>
  <conditionalFormatting sqref="S7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{fb40a8a9-a590-48d0-98e7-e068081d8044}</x14:id>
        </ext>
      </extLst>
    </cfRule>
  </conditionalFormatting>
  <conditionalFormatting sqref="U7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{4718a187-d1d2-44b0-a7f8-55101aac2a1f}</x14:id>
        </ext>
      </extLst>
    </cfRule>
  </conditionalFormatting>
  <conditionalFormatting sqref="O3:O69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{3f74c722-c3b8-41a8-b3e3-12a83c0365a4}</x14:id>
        </ext>
      </extLst>
    </cfRule>
  </conditionalFormatting>
  <conditionalFormatting sqref="J3:M3 K4:M25 J9:J16 J5 J19 J26:M6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U5 S6:U24 Q6:R59 U45:U67 T61:T64 S25:S67 Q61:R64 T25:U44 Q66:R69 T66:T67 T45:T59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{28cf2546-6d38-4ecb-a67c-5a778f48189b}</x14:id>
        </ext>
      </extLst>
    </cfRule>
  </conditionalFormatting>
  <conditionalFormatting sqref="S68:U69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{cae6a116-a3db-4429-bb90-35b1bec95eee}</x14:id>
        </ext>
      </extLst>
    </cfRule>
  </conditionalFormatting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2344da-847d-453c-b0e9-97f97f75575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</xm:sqref>
        </x14:conditionalFormatting>
        <x14:conditionalFormatting xmlns:xm="http://schemas.microsoft.com/office/excel/2006/main">
          <x14:cfRule type="dataBar" id="{c89776cb-a98b-4c64-b76f-a1d96f4580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Q70</xm:sqref>
        </x14:conditionalFormatting>
        <x14:conditionalFormatting xmlns:xm="http://schemas.microsoft.com/office/excel/2006/main">
          <x14:cfRule type="dataBar" id="{fb40a8a9-a590-48d0-98e7-e068081d80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S70</xm:sqref>
        </x14:conditionalFormatting>
        <x14:conditionalFormatting xmlns:xm="http://schemas.microsoft.com/office/excel/2006/main">
          <x14:cfRule type="dataBar" id="{4718a187-d1d2-44b0-a7f8-55101aac2a1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U70</xm:sqref>
        </x14:conditionalFormatting>
        <x14:conditionalFormatting xmlns:xm="http://schemas.microsoft.com/office/excel/2006/main">
          <x14:cfRule type="dataBar" id="{3f74c722-c3b8-41a8-b3e3-12a83c0365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O3:O69</xm:sqref>
        </x14:conditionalFormatting>
        <x14:conditionalFormatting xmlns:xm="http://schemas.microsoft.com/office/excel/2006/main">
          <x14:cfRule type="dataBar" id="{28cf2546-6d38-4ecb-a67c-5a778f4818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Q3:U5 S6:U24 Q6:R59 U45:U67 T61:T64 S25:S67 Q61:R64 T25:U44 Q66:R69 T66:T67 T45:T59</xm:sqref>
        </x14:conditionalFormatting>
        <x14:conditionalFormatting xmlns:xm="http://schemas.microsoft.com/office/excel/2006/main">
          <x14:cfRule type="dataBar" id="{cae6a116-a3db-4429-bb90-35b1bec95ee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S68:U69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SM_Top_PCB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2021-07-08T12:50:00Z</dcterms:created>
  <dcterms:modified xsi:type="dcterms:W3CDTF">2022-03-22T15:33:58Z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37109F8E191D451990DC8E66242E2A28</vt:lpwstr>
  </property>
  <property fmtid="{D5CDD505-2E9C-101B-9397-08002B2CF9AE}" pid="3" name="KSOProductBuildVer">
    <vt:lpwstr>1033-11.2.0.11029</vt:lpwstr>
  </property>
</Properties>
</file>