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M_Top_PCB" sheetId="1" r:id="rId1"/>
  </sheets>
  <calcPr calcId="144525"/>
</workbook>
</file>

<file path=xl/sharedStrings.xml><?xml version="1.0" encoding="utf-8"?>
<sst xmlns="http://schemas.openxmlformats.org/spreadsheetml/2006/main" count="568" uniqueCount="413">
  <si>
    <t>Bill of Material (BOM) for Cole Benson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</si>
  <si>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</si>
  <si>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</si>
  <si>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</si>
  <si>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</si>
  <si>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</si>
  <si>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</si>
  <si>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</si>
  <si>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</si>
  <si>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</si>
  <si>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</si>
  <si>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</si>
  <si>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Quantity 25</t>
  </si>
  <si>
    <t>Quantity 100</t>
  </si>
  <si>
    <t>Links</t>
  </si>
  <si>
    <t>Unit Cost(1)</t>
  </si>
  <si>
    <t>Total Cost(1)</t>
  </si>
  <si>
    <t>Unit Cost (5 Boards)</t>
  </si>
  <si>
    <t>Total Cost (5)</t>
  </si>
  <si>
    <t>Unit Cost (25 Boards)</t>
  </si>
  <si>
    <t>Total Cost (25)</t>
  </si>
  <si>
    <t>Unit Cost (100 Boards)</t>
  </si>
  <si>
    <t>Total Cost (100)</t>
  </si>
  <si>
    <t>Remarks</t>
  </si>
  <si>
    <t>Capacitor</t>
  </si>
  <si>
    <t xml:space="preserve">CAP ALUM 220UF 20% 63V SMD
</t>
  </si>
  <si>
    <t>C22</t>
  </si>
  <si>
    <t>Custom</t>
  </si>
  <si>
    <t>VKME1451J221MV</t>
  </si>
  <si>
    <t>Ymin</t>
  </si>
  <si>
    <t>EMVY630ARA221MKE0S</t>
  </si>
  <si>
    <t>220uF</t>
  </si>
  <si>
    <t>Only available on LCSC. Alternate suggested.</t>
  </si>
  <si>
    <t>CAP ALUM 220UF 20% 50V SMD</t>
  </si>
  <si>
    <t>C1</t>
  </si>
  <si>
    <t>UCD1H221MNL1GS</t>
  </si>
  <si>
    <t>Nichicon</t>
  </si>
  <si>
    <t>Digikey</t>
  </si>
  <si>
    <t xml:space="preserve">CAP CER 0.1UF 50V Y5V 0603
</t>
  </si>
  <si>
    <t>C2, C13, C51, C52, C53, C54, C61, CF1, CF2</t>
  </si>
  <si>
    <t>Cap0603</t>
  </si>
  <si>
    <t>CL10B104KB8NNNC</t>
  </si>
  <si>
    <t>Samsung</t>
  </si>
  <si>
    <t>0.1uF</t>
  </si>
  <si>
    <t>CAP CER 0.1UF 50V X7R 0402</t>
  </si>
  <si>
    <t>C25, C32</t>
  </si>
  <si>
    <t>Cap 0402</t>
  </si>
  <si>
    <t>CL05B104KB54PNC</t>
  </si>
  <si>
    <t>0.1UF</t>
  </si>
  <si>
    <t>CAP CER 10000PF 25V X7R 0402</t>
  </si>
  <si>
    <t>C3</t>
  </si>
  <si>
    <t>CC0402KRX7R8BB103</t>
  </si>
  <si>
    <t>Yageo</t>
  </si>
  <si>
    <t>10nF</t>
  </si>
  <si>
    <t>CAP CER 0.47UF 50V X5R 0402</t>
  </si>
  <si>
    <t>C4, C46</t>
  </si>
  <si>
    <t>UMK105ABJ474KV-F</t>
  </si>
  <si>
    <t>Taiyo Yuden</t>
  </si>
  <si>
    <t>0.47uF</t>
  </si>
  <si>
    <t>CAP CER 1UF 100V X7S 0805</t>
  </si>
  <si>
    <t>C55</t>
  </si>
  <si>
    <t>Cap0805</t>
  </si>
  <si>
    <t>C2012X7S2A105K125AB</t>
  </si>
  <si>
    <t>TDK</t>
  </si>
  <si>
    <t>GCM21BC72A105KE36L</t>
  </si>
  <si>
    <t>1uF</t>
  </si>
  <si>
    <t xml:space="preserve">CAP ALUM 470UF 20% 50V SMD
</t>
  </si>
  <si>
    <t>C49</t>
  </si>
  <si>
    <t>VT1H471MI135000CE0</t>
  </si>
  <si>
    <t>Changzhou Huawei Elec</t>
  </si>
  <si>
    <t>EEE-FK1H471AV</t>
  </si>
  <si>
    <t>470uF</t>
  </si>
  <si>
    <t>Similar package not available</t>
  </si>
  <si>
    <t>CAP CER 0.47uF 50V X7R 0603</t>
  </si>
  <si>
    <t>C30</t>
  </si>
  <si>
    <t>Cap 0603</t>
  </si>
  <si>
    <t>UMK107B7474KA-TR</t>
  </si>
  <si>
    <t>CL10A474KB8NNNC</t>
  </si>
  <si>
    <t xml:space="preserve">CAP CER 1UF 25V X5R 0603
</t>
  </si>
  <si>
    <t>C7</t>
  </si>
  <si>
    <t>CC0603KRX5R8BB105</t>
  </si>
  <si>
    <t>--------</t>
  </si>
  <si>
    <t xml:space="preserve">CAP CER 2.2UF 35V X5R 0603
</t>
  </si>
  <si>
    <t>C5, C6, C14, C23, C24, C29, C34, C35, C56</t>
  </si>
  <si>
    <t>GRM188R6YA225KA12D</t>
  </si>
  <si>
    <t>Murata</t>
  </si>
  <si>
    <t>CL10A225KL8NNNC</t>
  </si>
  <si>
    <t>2.2uF</t>
  </si>
  <si>
    <t>CAP CER 10UF 25V X5R 0603</t>
  </si>
  <si>
    <t>C8, C10, C11, C12</t>
  </si>
  <si>
    <t>CL10A106MA8NRNC</t>
  </si>
  <si>
    <t>10uF</t>
  </si>
  <si>
    <t>CAP CER 0.082UF 50V X7R 0603</t>
  </si>
  <si>
    <t>C9</t>
  </si>
  <si>
    <t>CC0603KRX7R9BB823</t>
  </si>
  <si>
    <t>82nF</t>
  </si>
  <si>
    <t>CAP CER 4.7UF 25V X5R 0603</t>
  </si>
  <si>
    <t>C33, C38, C39</t>
  </si>
  <si>
    <t>CL10A475KA8NQNC</t>
  </si>
  <si>
    <t>CL10A475MA8NQNC</t>
  </si>
  <si>
    <t>4.7UF</t>
  </si>
  <si>
    <t>CAP CER 1000PF 100V X7R 0402</t>
  </si>
  <si>
    <t>C36</t>
  </si>
  <si>
    <t>885012205080</t>
  </si>
  <si>
    <t>Wurth Electronics</t>
  </si>
  <si>
    <t>1000pF</t>
  </si>
  <si>
    <t>CAP TANT 100UF 20% 25V 2917</t>
  </si>
  <si>
    <t>C48</t>
  </si>
  <si>
    <t>CAP- 2917</t>
  </si>
  <si>
    <t>TAJE107M025RNJ</t>
  </si>
  <si>
    <t>Kyocera AVX</t>
  </si>
  <si>
    <t>100uF</t>
  </si>
  <si>
    <t>CAP CER 470pF 10% X7R 50V 0603 SMD</t>
  </si>
  <si>
    <t>C50</t>
  </si>
  <si>
    <t>CC0603KRX7R9BB471</t>
  </si>
  <si>
    <t>470pF</t>
  </si>
  <si>
    <t>CAP CER 2200PF 50V X7R 0603</t>
  </si>
  <si>
    <t>C37</t>
  </si>
  <si>
    <t>CC0603KRX7R9BB222</t>
  </si>
  <si>
    <t>2.2nF</t>
  </si>
  <si>
    <t>CAP CER 4.7UF 100V X7S 1210</t>
  </si>
  <si>
    <t>C41</t>
  </si>
  <si>
    <t>Cap1210</t>
  </si>
  <si>
    <t>HMK325C7475KN-TE</t>
  </si>
  <si>
    <t>4.7uF</t>
  </si>
  <si>
    <t>Surface Mount Ceramic Multilayer Capacitor 68pF 5% C0G 50V 0603 Paper T/R</t>
  </si>
  <si>
    <t>C42</t>
  </si>
  <si>
    <t>CC0603JRNPO9BN680</t>
  </si>
  <si>
    <t>68pF</t>
  </si>
  <si>
    <t>CAP CER 1206 47 uF 25 V ±20 % Tol. X5R</t>
  </si>
  <si>
    <t>C43, C45, C47</t>
  </si>
  <si>
    <t>Cap1206</t>
  </si>
  <si>
    <t>GRM31CR61E476ME44L</t>
  </si>
  <si>
    <t>47uF</t>
  </si>
  <si>
    <t>CAP CER 0.02uF 50V X7R 10% SMD 0603 125°C Paper T/R</t>
  </si>
  <si>
    <t>C44</t>
  </si>
  <si>
    <t>CC0603KRX7R9BB203</t>
  </si>
  <si>
    <t>20nF</t>
  </si>
  <si>
    <t>CAP CER 0.1UF 100V X7R 0603</t>
  </si>
  <si>
    <t>C15, C20, C40</t>
  </si>
  <si>
    <t>CC0603KRX7R0BB104</t>
  </si>
  <si>
    <t>Cap Ceramic 0.22uF 100V X7R 10% SMD 0805 125°C Embossed T/R</t>
  </si>
  <si>
    <t>C16, C18, C19, C21</t>
  </si>
  <si>
    <t>08051C224K4T2A</t>
  </si>
  <si>
    <t>220nF</t>
  </si>
  <si>
    <t>CAP CER 220nF 35V 0805</t>
  </si>
  <si>
    <t>C26, C27, C28, C31</t>
  </si>
  <si>
    <t>0805</t>
  </si>
  <si>
    <t>GMK212BJ224KGHT</t>
  </si>
  <si>
    <t xml:space="preserve">CAP CER 0.022UF 100V X7R 0603
</t>
  </si>
  <si>
    <t>C17</t>
  </si>
  <si>
    <t>CGA3E2X7R2A223K080AA</t>
  </si>
  <si>
    <t>22nF</t>
  </si>
  <si>
    <t>.47uF</t>
  </si>
  <si>
    <t>NON Stock</t>
  </si>
  <si>
    <t>CAP CER 1nF 100V X7R 0603</t>
  </si>
  <si>
    <t>C57, C58, C59, C60</t>
  </si>
  <si>
    <t>Res0603</t>
  </si>
  <si>
    <t>CL10B102KC8NNNC</t>
  </si>
  <si>
    <t>C0603C102K1RACTU</t>
  </si>
  <si>
    <t>1nF</t>
  </si>
  <si>
    <t>LED</t>
  </si>
  <si>
    <t>Standard LEDs - SMD SMD LED Red/Grn/Blue 625/1550/260 mcd</t>
  </si>
  <si>
    <t>LED1</t>
  </si>
  <si>
    <t>LTST-G683GEBW</t>
  </si>
  <si>
    <t>Vishay Lite-On</t>
  </si>
  <si>
    <t>LED GREEN CLEAR CHIP SMD</t>
  </si>
  <si>
    <t>LED2</t>
  </si>
  <si>
    <t>LED 0402</t>
  </si>
  <si>
    <t>XZVG68W-2</t>
  </si>
  <si>
    <t>SunLED</t>
  </si>
  <si>
    <t>Diode</t>
  </si>
  <si>
    <t>Diode Schottky 30V 1A Surface Mount USC</t>
  </si>
  <si>
    <t>D1</t>
  </si>
  <si>
    <t>CUS10S30,H3F</t>
  </si>
  <si>
    <t>Toshiba</t>
  </si>
  <si>
    <t>500μA@100V 100V Single 600mV@1A 1A SMA Schottky Barrier Diodes (SBD) ROHS</t>
  </si>
  <si>
    <t>D2</t>
  </si>
  <si>
    <t>SMA</t>
  </si>
  <si>
    <t>SSL110A</t>
  </si>
  <si>
    <t>Yangzhou</t>
  </si>
  <si>
    <t>40V 500mV@2A 2A SMA(DO-214AC) Schottky Barrier Diodes (SBD) ROHS</t>
  </si>
  <si>
    <t>D3</t>
  </si>
  <si>
    <t>SS24A</t>
  </si>
  <si>
    <t>DIODE SCHOTTKY 30V 1A SOD123W</t>
  </si>
  <si>
    <t>D4, D5, D6, D7, D8, D9, D10, D11</t>
  </si>
  <si>
    <t>SOD-123W</t>
  </si>
  <si>
    <t>PMEG3010ER,115</t>
  </si>
  <si>
    <t>Vishay Semiconductors</t>
  </si>
  <si>
    <t>PMEG3010BER,115</t>
  </si>
  <si>
    <t>-----</t>
  </si>
  <si>
    <t>some parameters are different</t>
  </si>
  <si>
    <t>SMD,3.5x3.5mm Light Emitting Diodes (LED) RoHS</t>
  </si>
  <si>
    <t>WS2812B-Mini</t>
  </si>
  <si>
    <t>Nexperia</t>
  </si>
  <si>
    <t>COM-11821</t>
  </si>
  <si>
    <t>Fuse</t>
  </si>
  <si>
    <t>FUSE BOARD MNT 15A 125VAC 32VDC</t>
  </si>
  <si>
    <t>F1</t>
  </si>
  <si>
    <t>0685H9150-01</t>
  </si>
  <si>
    <t xml:space="preserve">Bel Fuse Inc.
</t>
  </si>
  <si>
    <t>Inductor Power Shielded Wirewound 220uH 20% 1KHz Ferrite 1.3A 310mOhm DCR Blister T/R</t>
  </si>
  <si>
    <t>L1</t>
  </si>
  <si>
    <t>SLF12575T-221M1R3-PF</t>
  </si>
  <si>
    <t>220uH</t>
  </si>
  <si>
    <t>1A 15uH ±20% 190mΩ SMD Power Inductors ROHS</t>
  </si>
  <si>
    <t>L2</t>
  </si>
  <si>
    <t>MPIT4018-150M-LF</t>
  </si>
  <si>
    <t>microgate</t>
  </si>
  <si>
    <t>15uH</t>
  </si>
  <si>
    <t>Ferrite Beads Multi-Layer 120Ohm 25% 100MHz 2A 45mOhm DCR 0603 Automotive T/R</t>
  </si>
  <si>
    <t>FB1, FB2, FB3, FB4</t>
  </si>
  <si>
    <t>MPZ1608S121ATDH5</t>
  </si>
  <si>
    <t>Mosfet</t>
  </si>
  <si>
    <t>MOSFET N-CH 80V 74A 8TDSON</t>
  </si>
  <si>
    <t>Q2, Q3, Q4, Q5, Q6, Q7, Q8, Q9</t>
  </si>
  <si>
    <t>8-PowerTDFN</t>
  </si>
  <si>
    <t>BSC072N08NS5ATMA1</t>
  </si>
  <si>
    <t xml:space="preserve">Infineon Technologies
</t>
  </si>
  <si>
    <t>Resistor</t>
  </si>
  <si>
    <t>RES SMD 5.1K OHM 5% 1/10W 0603</t>
  </si>
  <si>
    <t>R1, R2</t>
  </si>
  <si>
    <t>RC0603JR-075K1L</t>
  </si>
  <si>
    <t>5.1K</t>
  </si>
  <si>
    <t>Res 0603 3.9K Ohm 1% 0.1W(1/10W) ±100ppm/°C Pad SMD T/R</t>
  </si>
  <si>
    <t>R3</t>
  </si>
  <si>
    <t>RC0603FR-073K9L</t>
  </si>
  <si>
    <t>3.9K</t>
  </si>
  <si>
    <t>RES SMD 0R, 1%, 0.1W, 0603</t>
  </si>
  <si>
    <t>R5, R32</t>
  </si>
  <si>
    <t>RC0603FR-070RL</t>
  </si>
  <si>
    <t>0R</t>
  </si>
  <si>
    <t>RES SMD 2K OHM 1% 1/10W 0603</t>
  </si>
  <si>
    <t>R4, R35, R39</t>
  </si>
  <si>
    <t>RC0603FR-072KL</t>
  </si>
  <si>
    <t>2K</t>
  </si>
  <si>
    <t>RES SMD 47OHM 0.1W 0603</t>
  </si>
  <si>
    <t>R6, R7, R8, R9</t>
  </si>
  <si>
    <t>RC0603FR-0747RL</t>
  </si>
  <si>
    <t>47R</t>
  </si>
  <si>
    <t xml:space="preserve">RES 0.033 OHM 1% 2W 2512
</t>
  </si>
  <si>
    <t>R10, R11, R12, R13</t>
  </si>
  <si>
    <t>RES 2512</t>
  </si>
  <si>
    <t>CRH2512FR033E04Z</t>
  </si>
  <si>
    <t>Ever Ohms Tech</t>
  </si>
  <si>
    <t>WSL2512R0330FEA18</t>
  </si>
  <si>
    <t>33m</t>
  </si>
  <si>
    <t>RES SMD 150OHM 1/10W 0603</t>
  </si>
  <si>
    <t>R14, R15, R16, R17, R18, R19, R20, R26</t>
  </si>
  <si>
    <t>RC0603FR-07150RL</t>
  </si>
  <si>
    <t>150R</t>
  </si>
  <si>
    <t>RES SMD 3.01K OHM 1% 1/10W 0603</t>
  </si>
  <si>
    <t>R21</t>
  </si>
  <si>
    <t>ERJ3EKF3011V</t>
  </si>
  <si>
    <t>AC0603FR-073K01L</t>
  </si>
  <si>
    <t>3.01K</t>
  </si>
  <si>
    <t>RES SMD 11K, 1%, 0.1W, 0603</t>
  </si>
  <si>
    <t>R22</t>
  </si>
  <si>
    <t>RC0603FR-0711KL</t>
  </si>
  <si>
    <t>11K</t>
  </si>
  <si>
    <t>RES SMD 2.2OHM 0603</t>
  </si>
  <si>
    <t>R23</t>
  </si>
  <si>
    <t>ERJ3GEYJ2R2V</t>
  </si>
  <si>
    <t>Panasonic Electronic Components</t>
  </si>
  <si>
    <t>2R2</t>
  </si>
  <si>
    <t>RES SMD 12.4K OHM 1% 1/10W 0603</t>
  </si>
  <si>
    <t>R24</t>
  </si>
  <si>
    <t>RC0603FR-0712K4L</t>
  </si>
  <si>
    <t>12.4K</t>
  </si>
  <si>
    <t>RES SMD 143 OHM 1% 1/10W 0603</t>
  </si>
  <si>
    <t>R25</t>
  </si>
  <si>
    <t>ERJ-3EKF1430V</t>
  </si>
  <si>
    <t>143R</t>
  </si>
  <si>
    <t>RES SMD 11.8K OHM 1% 1/10W 0603</t>
  </si>
  <si>
    <t>R27</t>
  </si>
  <si>
    <t>AC0603FR-0711K8L</t>
  </si>
  <si>
    <t>RT0603BRE0711K8L</t>
  </si>
  <si>
    <t>11.8K</t>
  </si>
  <si>
    <t>RES SMD 105K OHM 1% 1/10W 0603</t>
  </si>
  <si>
    <t>R28</t>
  </si>
  <si>
    <t>RC0603FR-07105KL</t>
  </si>
  <si>
    <t>105K</t>
  </si>
  <si>
    <t>RES SMD 127K OHM 1% 1/10W 0603</t>
  </si>
  <si>
    <t>R29</t>
  </si>
  <si>
    <t>RT0603FRE07127KL</t>
  </si>
  <si>
    <t>127K</t>
  </si>
  <si>
    <t>RES SMD 10K OHM 1% 1/20W 0201</t>
  </si>
  <si>
    <t>R30</t>
  </si>
  <si>
    <t>Res-0201</t>
  </si>
  <si>
    <t>RC0201FR-0710KL</t>
  </si>
  <si>
    <t>10K</t>
  </si>
  <si>
    <t>RES SMD 301K OHM 0.1% 1/10W 0603</t>
  </si>
  <si>
    <t>R31</t>
  </si>
  <si>
    <t>RT0603BRE07301KL</t>
  </si>
  <si>
    <t>301K</t>
  </si>
  <si>
    <t>Res Thick Film 0603 240 Ohm 1% 1/10W +/-100ppm/ßC Molded SMD Paper T/R</t>
  </si>
  <si>
    <t>R33, R34</t>
  </si>
  <si>
    <t>RC0603FR-07240RL</t>
  </si>
  <si>
    <t>240R</t>
  </si>
  <si>
    <t>Res SMD 0603 51.1K Ohm 0.1% 1/10W</t>
  </si>
  <si>
    <t>R36</t>
  </si>
  <si>
    <t>ERA3AEB5112V</t>
  </si>
  <si>
    <t>Panasonic</t>
  </si>
  <si>
    <t>51.1K</t>
  </si>
  <si>
    <t>RES SMD 1M OHM 1% 1/20W 0201</t>
  </si>
  <si>
    <t>R37</t>
  </si>
  <si>
    <t>RC0201FR-071ML</t>
  </si>
  <si>
    <t>1M</t>
  </si>
  <si>
    <t>Res SMD 0603 90.9K Ohm 1% 1/10W</t>
  </si>
  <si>
    <t>R38</t>
  </si>
  <si>
    <t>ERJ3EKF9092V</t>
  </si>
  <si>
    <t>90.9K</t>
  </si>
  <si>
    <t>±1% 1/10W Thick Film Resistors 75V ±100ppm/℃ -55℃~+155℃ 1.2kΩ 0603 Chip Resistor - Surface Mount ROHS</t>
  </si>
  <si>
    <t>R40</t>
  </si>
  <si>
    <t>0603WAF1201T5E</t>
  </si>
  <si>
    <t>UNI-ROYAL</t>
  </si>
  <si>
    <t>1.2K</t>
  </si>
  <si>
    <t>±1% 1/10W Thick Film Resistors 75V ±600ppm/℃ -55℃~+155℃ 0.33Ω 0603 Chip Resistor - Surface Mount ROHS</t>
  </si>
  <si>
    <t>R41</t>
  </si>
  <si>
    <t>RTT03R330FTP</t>
  </si>
  <si>
    <t>RALEC</t>
  </si>
  <si>
    <t>0.33R</t>
  </si>
  <si>
    <t>RES SMD 10K Ohm 1% 1/10W 0603</t>
  </si>
  <si>
    <t>RF1, RF2, RF3, RF4</t>
  </si>
  <si>
    <t>RC0603FR-0710KL</t>
  </si>
  <si>
    <t>Switch</t>
  </si>
  <si>
    <t>Memontary Tactile Push Button Switch 6X6X4.3 / 4.5 / 5/6/7/8/9/10 / 13mm SMD</t>
  </si>
  <si>
    <t>SW1</t>
  </si>
  <si>
    <t>Tactile Switch 13mm Actuator</t>
  </si>
  <si>
    <t>WIN ELEC-TECH CO., LTD</t>
  </si>
  <si>
    <t>----</t>
  </si>
  <si>
    <t>50 per lot available</t>
  </si>
  <si>
    <t>Transformer</t>
  </si>
  <si>
    <t>XFRMR ISOL BUCK DC/DC CONV SMD</t>
  </si>
  <si>
    <t>T1</t>
  </si>
  <si>
    <t>750314597</t>
  </si>
  <si>
    <t>Wurth Electronics Midcom</t>
  </si>
  <si>
    <t>Ics</t>
  </si>
  <si>
    <t>IC REG BUCK FLYBCK ADJ 12WSON</t>
  </si>
  <si>
    <t>U1</t>
  </si>
  <si>
    <t>LM5160ADNTR</t>
  </si>
  <si>
    <t>Texas Instruments</t>
  </si>
  <si>
    <t>3.5V to 36V, 3A Synchronous Step-Down Voltage Converter 16-HTSSOP -40 to 125</t>
  </si>
  <si>
    <t>U3</t>
  </si>
  <si>
    <t>HTSSOP-16</t>
  </si>
  <si>
    <t>LM43603PWPR</t>
  </si>
  <si>
    <t>IC REG LINEAR 3.3V 1A 6UDFN</t>
  </si>
  <si>
    <t>U2</t>
  </si>
  <si>
    <t>6-UDFN (3x3)</t>
  </si>
  <si>
    <t>NCP708MU330TAG</t>
  </si>
  <si>
    <t>ON Semiconductor</t>
  </si>
  <si>
    <t>IC REG CHARGE PUMP 5V 140MA 6SON</t>
  </si>
  <si>
    <t>U4</t>
  </si>
  <si>
    <t>TPS60150DRVR</t>
  </si>
  <si>
    <t>1.5-A boost, buck, inverting switching regulator, operation from 0°C to 70°C 8-SOIC 0 to 70</t>
  </si>
  <si>
    <t>U5</t>
  </si>
  <si>
    <t>SOIC-8</t>
  </si>
  <si>
    <t>MC34063ADR</t>
  </si>
  <si>
    <t>IC MTR DRVR BIPOLAR 8-60V 48TQFP</t>
  </si>
  <si>
    <t>U6</t>
  </si>
  <si>
    <t>48-tqfp-ep (7x7)</t>
  </si>
  <si>
    <t>TMC5160A-TA-T</t>
  </si>
  <si>
    <t>IC OPAMP GP 1.7MHZ RRO SOT23-6</t>
  </si>
  <si>
    <t>U7</t>
  </si>
  <si>
    <t>SOT-23-6</t>
  </si>
  <si>
    <t>MAX4236EUT+T</t>
  </si>
  <si>
    <t>Maxim Integrated</t>
  </si>
  <si>
    <t>DGTL ISO 3000VRMS 4CH 16SSOP</t>
  </si>
  <si>
    <t>U8</t>
  </si>
  <si>
    <t>ISO7741QDBQQ1</t>
  </si>
  <si>
    <t>DGTL ISO 600VRMS 6CH GP 16SOIC</t>
  </si>
  <si>
    <t>U9</t>
  </si>
  <si>
    <t>MAX14850ASE+</t>
  </si>
  <si>
    <t>Maxim</t>
  </si>
  <si>
    <t>Less stock</t>
  </si>
  <si>
    <t>IC BUS BUFFER TRI-ST QD 14TSSOP</t>
  </si>
  <si>
    <t>U10</t>
  </si>
  <si>
    <t>SN74LVTH125PWR</t>
  </si>
  <si>
    <t>Mouser</t>
  </si>
  <si>
    <t>Connectors</t>
  </si>
  <si>
    <t>USB - Type C Female 24 SMD USB Connectors RoHS</t>
  </si>
  <si>
    <t>J1</t>
  </si>
  <si>
    <t>MC-318</t>
  </si>
  <si>
    <t>SOFNG</t>
  </si>
  <si>
    <t>Conn RJ-25 F 6 POS 2.54mm Solder ST Thru-Hole 4 Terminal 1 Port Tray Cat 3</t>
  </si>
  <si>
    <t>J2, J5</t>
  </si>
  <si>
    <t>5520425-2</t>
  </si>
  <si>
    <t>TE Connectivity AMP Connectors</t>
  </si>
  <si>
    <t>CONN HEADER SMD 26POS 1.27MM</t>
  </si>
  <si>
    <t>J3</t>
  </si>
  <si>
    <t>M55-7012642R</t>
  </si>
  <si>
    <t>Harwin</t>
  </si>
  <si>
    <t>CONN HEADER VERT 4POS 2.5MM</t>
  </si>
  <si>
    <t>J4</t>
  </si>
  <si>
    <t>B4B-XH-A(LF)(SN)</t>
  </si>
  <si>
    <t>JST Sales America Inc.</t>
  </si>
  <si>
    <t xml:space="preserve">DO NOT MOUNT </t>
  </si>
  <si>
    <t>XT60 CONNECTORS MALE/FEMALE PAIR</t>
  </si>
  <si>
    <t>P1, P2</t>
  </si>
  <si>
    <t>PRT-10474</t>
  </si>
  <si>
    <t>SparkFun Electronics</t>
  </si>
  <si>
    <t>CONN HEADER VERT 2POS 2.54MM</t>
  </si>
  <si>
    <t>P7, P8, P9, P10</t>
  </si>
  <si>
    <t>HDR1X2</t>
  </si>
  <si>
    <t>Würth Elektronik</t>
  </si>
  <si>
    <t>Test Point ON</t>
  </si>
  <si>
    <t>P3, P4, P5, P6</t>
  </si>
  <si>
    <t>TEST POINT</t>
  </si>
  <si>
    <t>Solder Bridge ON</t>
  </si>
  <si>
    <t>SB1, SB2, SB3, SB4, SB5, SB6, SB7, SB8, SB9, SB10, SB11</t>
  </si>
  <si>
    <t>Solder Bridge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</si>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</sst>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178" formatCode="&quot;$&quot;#,##0.00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33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.5"/>
      <color theme="1"/>
      <name val="Arial"/>
      <charset val="134"/>
    </font>
    <font>
      <u/>
      <sz val="11"/>
      <color rgb="FF800080"/>
      <name val="Calibri"/>
      <charset val="0"/>
      <scheme val="minor"/>
    </font>
    <font>
      <b/>
      <sz val="10"/>
      <color rgb="FFFF0000"/>
      <name val="Calibri"/>
      <charset val="134"/>
      <scheme val="minor"/>
    </font>
    <font>
      <strike/>
      <sz val="10"/>
      <color rgb="FFFF0000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9.75"/>
      <color rgb="FF333333"/>
      <name val="Arial"/>
      <charset val="134"/>
    </font>
    <font>
      <b/>
      <sz val="14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9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4" fillId="16" borderId="48" applyNumberFormat="0" applyAlignment="0" applyProtection="0">
      <alignment vertical="center"/>
    </xf>
    <xf numFmtId="0" fontId="17" fillId="0" borderId="46" applyNumberFormat="0" applyFill="0" applyAlignment="0" applyProtection="0">
      <alignment vertical="center"/>
    </xf>
    <xf numFmtId="0" fontId="0" fillId="17" borderId="49" applyNumberFormat="0" applyFon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6" fillId="0" borderId="46" applyNumberFormat="0" applyFill="0" applyAlignment="0" applyProtection="0">
      <alignment vertical="center"/>
    </xf>
    <xf numFmtId="0" fontId="29" fillId="0" borderId="5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28" fillId="24" borderId="50" applyNumberFormat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30" fillId="26" borderId="52" applyNumberFormat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32" fillId="26" borderId="50" applyNumberFormat="0" applyAlignment="0" applyProtection="0">
      <alignment vertical="center"/>
    </xf>
    <xf numFmtId="0" fontId="31" fillId="0" borderId="53" applyNumberFormat="0" applyFill="0" applyAlignment="0" applyProtection="0">
      <alignment vertical="center"/>
    </xf>
    <xf numFmtId="0" fontId="22" fillId="0" borderId="47" applyNumberFormat="0" applyFill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</cellStyleXfs>
  <cellXfs count="159">
    <xf numFmtId="0" fontId="0" fillId="0" borderId="0" xfId="0"/>
    <xf numFmtId="0" fontId="0" fillId="0" borderId="0" xfId="0" applyAlignment="1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left" vertical="center"/>
    </xf>
    <xf numFmtId="0" fontId="6" fillId="0" borderId="10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0" fillId="0" borderId="13" xfId="0" applyFill="1" applyBorder="1" applyAlignment="1">
      <alignment vertical="center" wrapText="1"/>
    </xf>
    <xf numFmtId="0" fontId="4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3" xfId="0" applyFont="1" applyFill="1" applyBorder="1" applyAlignment="1">
      <alignment vertical="center" wrapText="1"/>
    </xf>
    <xf numFmtId="0" fontId="0" fillId="0" borderId="13" xfId="0" applyFont="1" applyFill="1" applyBorder="1" applyAlignment="1">
      <alignment horizontal="center" vertical="center" wrapText="1"/>
    </xf>
    <xf numFmtId="0" fontId="0" fillId="0" borderId="14" xfId="0" applyFill="1" applyBorder="1" applyAlignment="1">
      <alignment horizontal="center" vertical="center" wrapText="1"/>
    </xf>
    <xf numFmtId="0" fontId="0" fillId="0" borderId="14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left" vertical="center" wrapText="1"/>
    </xf>
    <xf numFmtId="0" fontId="6" fillId="0" borderId="13" xfId="0" applyFont="1" applyFill="1" applyBorder="1" applyAlignment="1">
      <alignment horizontal="center" vertical="center" wrapText="1"/>
    </xf>
    <xf numFmtId="0" fontId="6" fillId="0" borderId="14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13" xfId="0" applyFont="1" applyFill="1" applyBorder="1" applyAlignment="1">
      <alignment horizontal="left" vertical="center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left" vertical="center" wrapText="1"/>
    </xf>
    <xf numFmtId="0" fontId="4" fillId="3" borderId="13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/>
    </xf>
    <xf numFmtId="0" fontId="0" fillId="0" borderId="13" xfId="0" applyFont="1" applyFill="1" applyBorder="1" applyAlignment="1">
      <alignment horizontal="left" vertical="center"/>
    </xf>
    <xf numFmtId="0" fontId="0" fillId="0" borderId="13" xfId="0" applyFont="1" applyFill="1" applyBorder="1" applyAlignment="1">
      <alignment horizontal="center" vertical="center"/>
    </xf>
    <xf numFmtId="0" fontId="0" fillId="0" borderId="14" xfId="0" applyFont="1" applyFill="1" applyBorder="1" applyAlignment="1">
      <alignment horizontal="center" vertical="center"/>
    </xf>
    <xf numFmtId="0" fontId="0" fillId="0" borderId="13" xfId="0" applyFill="1" applyBorder="1" applyAlignment="1">
      <alignment horizontal="left" vertical="center" wrapText="1"/>
    </xf>
    <xf numFmtId="0" fontId="0" fillId="0" borderId="13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3" xfId="0" applyFont="1" applyFill="1" applyBorder="1" applyAlignment="1">
      <alignment horizontal="left" vertical="center" wrapText="1"/>
    </xf>
    <xf numFmtId="0" fontId="0" fillId="0" borderId="13" xfId="0" applyFont="1" applyFill="1" applyBorder="1" applyAlignment="1">
      <alignment vertical="center"/>
    </xf>
    <xf numFmtId="0" fontId="5" fillId="3" borderId="13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left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5" fillId="5" borderId="13" xfId="0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left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left" vertical="center" wrapText="1"/>
    </xf>
    <xf numFmtId="0" fontId="4" fillId="3" borderId="21" xfId="0" applyFont="1" applyFill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0" fontId="3" fillId="0" borderId="22" xfId="0" applyFont="1" applyBorder="1" applyAlignment="1">
      <alignment horizontal="center" vertical="center" wrapText="1"/>
    </xf>
    <xf numFmtId="0" fontId="0" fillId="0" borderId="12" xfId="0" applyFill="1" applyBorder="1" applyAlignment="1">
      <alignment horizontal="left" vertical="center" wrapText="1"/>
    </xf>
    <xf numFmtId="0" fontId="4" fillId="0" borderId="23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left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178" fontId="6" fillId="0" borderId="8" xfId="0" applyNumberFormat="1" applyFont="1" applyBorder="1" applyAlignment="1">
      <alignment horizontal="center" vertical="center" wrapText="1"/>
    </xf>
    <xf numFmtId="44" fontId="6" fillId="0" borderId="8" xfId="0" applyNumberFormat="1" applyFont="1" applyBorder="1" applyAlignment="1">
      <alignment horizontal="center" vertical="center" wrapText="1"/>
    </xf>
    <xf numFmtId="0" fontId="6" fillId="0" borderId="26" xfId="0" applyFont="1" applyFill="1" applyBorder="1" applyAlignment="1">
      <alignment horizontal="center" vertical="center"/>
    </xf>
    <xf numFmtId="0" fontId="7" fillId="0" borderId="0" xfId="7" applyAlignment="1">
      <alignment horizontal="center" vertical="center" wrapText="1"/>
    </xf>
    <xf numFmtId="0" fontId="8" fillId="0" borderId="0" xfId="0" applyFont="1"/>
    <xf numFmtId="44" fontId="6" fillId="0" borderId="23" xfId="0" applyNumberFormat="1" applyFont="1" applyBorder="1" applyAlignment="1">
      <alignment horizontal="center" vertical="center" wrapText="1"/>
    </xf>
    <xf numFmtId="0" fontId="7" fillId="0" borderId="23" xfId="7" applyBorder="1" applyAlignment="1">
      <alignment horizontal="center" vertical="center" wrapText="1"/>
    </xf>
    <xf numFmtId="178" fontId="6" fillId="0" borderId="13" xfId="0" applyNumberFormat="1" applyFont="1" applyBorder="1" applyAlignment="1">
      <alignment horizontal="center" vertical="center" wrapText="1"/>
    </xf>
    <xf numFmtId="44" fontId="6" fillId="0" borderId="13" xfId="0" applyNumberFormat="1" applyFont="1" applyBorder="1" applyAlignment="1">
      <alignment horizontal="center" vertical="center" wrapText="1"/>
    </xf>
    <xf numFmtId="0" fontId="0" fillId="0" borderId="27" xfId="0" applyFont="1" applyFill="1" applyBorder="1" applyAlignment="1">
      <alignment horizontal="center" vertical="center" wrapText="1"/>
    </xf>
    <xf numFmtId="0" fontId="9" fillId="0" borderId="23" xfId="7" applyFont="1" applyBorder="1" applyAlignment="1">
      <alignment horizontal="center" vertical="center" wrapText="1"/>
    </xf>
    <xf numFmtId="0" fontId="6" fillId="0" borderId="27" xfId="0" applyFont="1" applyFill="1" applyBorder="1" applyAlignment="1">
      <alignment horizontal="center" vertical="center" wrapText="1"/>
    </xf>
    <xf numFmtId="0" fontId="6" fillId="0" borderId="27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0" fillId="0" borderId="27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 wrapText="1"/>
    </xf>
    <xf numFmtId="178" fontId="6" fillId="0" borderId="13" xfId="0" applyNumberFormat="1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 wrapText="1"/>
    </xf>
    <xf numFmtId="178" fontId="6" fillId="0" borderId="17" xfId="0" applyNumberFormat="1" applyFont="1" applyBorder="1" applyAlignment="1">
      <alignment horizontal="center" vertical="center" wrapText="1"/>
    </xf>
    <xf numFmtId="44" fontId="6" fillId="0" borderId="17" xfId="0" applyNumberFormat="1" applyFont="1" applyBorder="1" applyAlignment="1">
      <alignment horizontal="center" vertical="center" wrapText="1"/>
    </xf>
    <xf numFmtId="178" fontId="6" fillId="0" borderId="19" xfId="0" applyNumberFormat="1" applyFont="1" applyBorder="1" applyAlignment="1">
      <alignment horizontal="center" vertical="center" wrapText="1"/>
    </xf>
    <xf numFmtId="44" fontId="6" fillId="0" borderId="19" xfId="0" applyNumberFormat="1" applyFont="1" applyBorder="1" applyAlignment="1">
      <alignment horizontal="center" vertical="center" wrapText="1"/>
    </xf>
    <xf numFmtId="178" fontId="6" fillId="0" borderId="23" xfId="0" applyNumberFormat="1" applyFont="1" applyBorder="1" applyAlignment="1">
      <alignment horizontal="center" vertical="center"/>
    </xf>
    <xf numFmtId="178" fontId="6" fillId="0" borderId="19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 wrapText="1"/>
    </xf>
    <xf numFmtId="178" fontId="6" fillId="0" borderId="21" xfId="0" applyNumberFormat="1" applyFont="1" applyBorder="1" applyAlignment="1">
      <alignment horizontal="center" vertical="center"/>
    </xf>
    <xf numFmtId="44" fontId="6" fillId="0" borderId="21" xfId="0" applyNumberFormat="1" applyFont="1" applyBorder="1" applyAlignment="1">
      <alignment horizontal="center" vertical="center" wrapText="1"/>
    </xf>
    <xf numFmtId="178" fontId="6" fillId="0" borderId="8" xfId="0" applyNumberFormat="1" applyFont="1" applyBorder="1" applyAlignment="1">
      <alignment horizontal="center" vertical="center"/>
    </xf>
    <xf numFmtId="178" fontId="6" fillId="0" borderId="25" xfId="0" applyNumberFormat="1" applyFont="1" applyBorder="1" applyAlignment="1">
      <alignment horizontal="center" vertical="center" wrapText="1"/>
    </xf>
    <xf numFmtId="44" fontId="6" fillId="0" borderId="25" xfId="0" applyNumberFormat="1" applyFont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178" fontId="2" fillId="2" borderId="21" xfId="0" applyNumberFormat="1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5" borderId="33" xfId="0" applyFont="1" applyFill="1" applyBorder="1" applyAlignment="1">
      <alignment horizontal="center" vertical="center" wrapText="1"/>
    </xf>
    <xf numFmtId="0" fontId="10" fillId="5" borderId="33" xfId="0" applyFont="1" applyFill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5" borderId="32" xfId="0" applyFont="1" applyFill="1" applyBorder="1" applyAlignment="1">
      <alignment horizontal="center" vertical="center" wrapText="1"/>
    </xf>
    <xf numFmtId="0" fontId="10" fillId="5" borderId="35" xfId="0" applyFont="1" applyFill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vertical="center" wrapText="1"/>
    </xf>
    <xf numFmtId="0" fontId="10" fillId="5" borderId="36" xfId="0" applyFont="1" applyFill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0" fillId="0" borderId="25" xfId="0" applyFill="1" applyBorder="1" applyAlignment="1">
      <alignment horizontal="left" vertical="center" wrapText="1"/>
    </xf>
    <xf numFmtId="0" fontId="0" fillId="0" borderId="25" xfId="0" applyFill="1" applyBorder="1" applyAlignment="1">
      <alignment horizontal="center" vertical="center" wrapText="1"/>
    </xf>
    <xf numFmtId="0" fontId="0" fillId="0" borderId="39" xfId="0" applyFill="1" applyBorder="1" applyAlignment="1">
      <alignment horizontal="center" vertical="center" wrapText="1"/>
    </xf>
    <xf numFmtId="0" fontId="3" fillId="0" borderId="22" xfId="0" applyFont="1" applyBorder="1" applyAlignment="1">
      <alignment vertical="center" wrapText="1"/>
    </xf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left" vertical="center" wrapText="1"/>
    </xf>
    <xf numFmtId="0" fontId="3" fillId="0" borderId="40" xfId="0" applyFont="1" applyBorder="1" applyAlignment="1">
      <alignment vertical="center" wrapText="1"/>
    </xf>
    <xf numFmtId="0" fontId="0" fillId="0" borderId="41" xfId="0" applyFill="1" applyBorder="1" applyAlignment="1">
      <alignment vertical="center" wrapText="1"/>
    </xf>
    <xf numFmtId="0" fontId="0" fillId="0" borderId="41" xfId="0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left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left" vertical="center" wrapText="1"/>
    </xf>
    <xf numFmtId="0" fontId="12" fillId="4" borderId="13" xfId="0" applyFont="1" applyFill="1" applyBorder="1" applyAlignment="1">
      <alignment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8" fontId="6" fillId="0" borderId="2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42" xfId="0" applyFill="1" applyBorder="1" applyAlignment="1">
      <alignment horizontal="center" vertical="center" wrapText="1"/>
    </xf>
    <xf numFmtId="0" fontId="13" fillId="0" borderId="0" xfId="0" applyFont="1"/>
    <xf numFmtId="178" fontId="11" fillId="4" borderId="13" xfId="0" applyNumberFormat="1" applyFont="1" applyFill="1" applyBorder="1" applyAlignment="1">
      <alignment horizontal="center" vertical="center" wrapText="1"/>
    </xf>
    <xf numFmtId="44" fontId="11" fillId="4" borderId="13" xfId="0" applyNumberFormat="1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horizontal="center" vertical="center" wrapText="1"/>
    </xf>
    <xf numFmtId="44" fontId="11" fillId="4" borderId="17" xfId="0" applyNumberFormat="1" applyFont="1" applyFill="1" applyBorder="1" applyAlignment="1">
      <alignment horizontal="center" vertical="center" wrapText="1"/>
    </xf>
    <xf numFmtId="0" fontId="14" fillId="3" borderId="43" xfId="0" applyFont="1" applyFill="1" applyBorder="1" applyAlignment="1">
      <alignment horizontal="center" wrapText="1"/>
    </xf>
    <xf numFmtId="0" fontId="14" fillId="3" borderId="0" xfId="0" applyFont="1" applyFill="1" applyAlignment="1">
      <alignment horizontal="center" wrapText="1"/>
    </xf>
    <xf numFmtId="0" fontId="14" fillId="3" borderId="0" xfId="0" applyFont="1" applyFill="1" applyBorder="1" applyAlignment="1">
      <alignment horizontal="center" wrapText="1"/>
    </xf>
    <xf numFmtId="44" fontId="0" fillId="0" borderId="0" xfId="0" applyNumberFormat="1"/>
    <xf numFmtId="44" fontId="6" fillId="0" borderId="0" xfId="0" applyNumberFormat="1" applyFont="1" applyBorder="1" applyAlignment="1">
      <alignment horizontal="center" vertical="center" wrapText="1"/>
    </xf>
    <xf numFmtId="0" fontId="10" fillId="5" borderId="13" xfId="0" applyFont="1" applyFill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15" fillId="4" borderId="33" xfId="0" applyFont="1" applyFill="1" applyBorder="1" applyAlignment="1">
      <alignment horizontal="center" vertical="center" wrapText="1"/>
    </xf>
    <xf numFmtId="0" fontId="0" fillId="0" borderId="45" xfId="0" applyBorder="1"/>
    <xf numFmtId="178" fontId="11" fillId="4" borderId="17" xfId="0" applyNumberFormat="1" applyFont="1" applyFill="1" applyBorder="1" applyAlignment="1">
      <alignment horizontal="center" vertical="center" wrapText="1"/>
    </xf>
    <xf numFmtId="0" fontId="15" fillId="4" borderId="34" xfId="0" applyFont="1" applyFill="1" applyBorder="1" applyAlignment="1">
      <alignment horizontal="center" vertical="center" wrapText="1"/>
    </xf>
    <xf numFmtId="0" fontId="4" fillId="0" borderId="7" xfId="0" applyFont="1" applyBorder="1" applyAlignment="1" quotePrefix="1">
      <alignment horizontal="left" vertical="center"/>
    </xf>
    <xf numFmtId="0" fontId="4" fillId="0" borderId="8" xfId="0" applyFont="1" applyBorder="1" applyAlignment="1" quotePrefix="1">
      <alignment horizontal="center" vertical="center" wrapText="1"/>
    </xf>
    <xf numFmtId="0" fontId="5" fillId="0" borderId="8" xfId="0" applyFont="1" applyBorder="1" applyAlignment="1" quotePrefix="1">
      <alignment horizontal="center" vertical="center" wrapText="1"/>
    </xf>
    <xf numFmtId="0" fontId="6" fillId="0" borderId="10" xfId="0" applyFont="1" applyFill="1" applyBorder="1" applyAlignment="1" quotePrefix="1">
      <alignment horizontal="left" vertical="center"/>
    </xf>
    <xf numFmtId="0" fontId="6" fillId="0" borderId="10" xfId="0" applyFont="1" applyFill="1" applyBorder="1" applyAlignment="1" quotePrefix="1">
      <alignment horizontal="center" vertical="center"/>
    </xf>
    <xf numFmtId="0" fontId="6" fillId="0" borderId="11" xfId="0" applyFont="1" applyFill="1" applyBorder="1" applyAlignment="1" quotePrefix="1">
      <alignment horizontal="center" vertical="center"/>
    </xf>
    <xf numFmtId="0" fontId="6" fillId="0" borderId="26" xfId="0" applyFont="1" applyFill="1" applyBorder="1" applyAlignment="1" quotePrefix="1">
      <alignment horizontal="center" vertical="center"/>
    </xf>
    <xf numFmtId="0" fontId="4" fillId="0" borderId="12" xfId="0" applyFont="1" applyBorder="1" applyAlignment="1" quotePrefix="1">
      <alignment horizontal="left" vertical="center"/>
    </xf>
    <xf numFmtId="0" fontId="0" fillId="0" borderId="13" xfId="0" applyFill="1" applyBorder="1" applyAlignment="1" quotePrefix="1">
      <alignment vertical="center" wrapText="1"/>
    </xf>
    <xf numFmtId="0" fontId="4" fillId="0" borderId="13" xfId="0" applyFont="1" applyBorder="1" applyAlignment="1" quotePrefix="1">
      <alignment horizontal="center" vertical="center"/>
    </xf>
    <xf numFmtId="0" fontId="0" fillId="0" borderId="13" xfId="0" applyFont="1" applyFill="1" applyBorder="1" applyAlignment="1" quotePrefix="1">
      <alignment vertical="center" wrapText="1"/>
    </xf>
    <xf numFmtId="0" fontId="0" fillId="0" borderId="13" xfId="0" applyFont="1" applyFill="1" applyBorder="1" applyAlignment="1" quotePrefix="1">
      <alignment horizontal="center" vertical="center" wrapText="1"/>
    </xf>
    <xf numFmtId="0" fontId="0" fillId="0" borderId="14" xfId="0" applyFill="1" applyBorder="1" applyAlignment="1" quotePrefix="1">
      <alignment horizontal="center" vertical="center" wrapText="1"/>
    </xf>
    <xf numFmtId="0" fontId="0" fillId="0" borderId="27" xfId="0" applyFont="1" applyFill="1" applyBorder="1" applyAlignment="1" quotePrefix="1">
      <alignment horizontal="center" vertical="center" wrapText="1"/>
    </xf>
    <xf numFmtId="0" fontId="6" fillId="0" borderId="13" xfId="0" applyFont="1" applyFill="1" applyBorder="1" applyAlignment="1" quotePrefix="1">
      <alignment horizontal="left" vertical="center" wrapText="1"/>
    </xf>
    <xf numFmtId="0" fontId="6" fillId="0" borderId="13" xfId="0" applyFont="1" applyFill="1" applyBorder="1" applyAlignment="1" quotePrefix="1">
      <alignment horizontal="center" vertical="center" wrapText="1"/>
    </xf>
    <xf numFmtId="0" fontId="6" fillId="0" borderId="14" xfId="0" applyFont="1" applyFill="1" applyBorder="1" applyAlignment="1" quotePrefix="1">
      <alignment horizontal="center" vertical="center" wrapText="1"/>
    </xf>
    <xf numFmtId="0" fontId="6" fillId="0" borderId="27" xfId="0" applyFont="1" applyFill="1" applyBorder="1" applyAlignment="1" quotePrefix="1">
      <alignment horizontal="center" vertical="center" wrapText="1"/>
    </xf>
    <xf numFmtId="0" fontId="6" fillId="0" borderId="13" xfId="0" applyFont="1" applyFill="1" applyBorder="1" applyAlignment="1" quotePrefix="1">
      <alignment horizontal="left" vertical="center"/>
    </xf>
    <xf numFmtId="0" fontId="6" fillId="0" borderId="13" xfId="0" applyFont="1" applyFill="1" applyBorder="1" applyAlignment="1" quotePrefix="1">
      <alignment horizontal="center" vertical="center"/>
    </xf>
    <xf numFmtId="0" fontId="6" fillId="0" borderId="14" xfId="0" applyFont="1" applyFill="1" applyBorder="1" applyAlignment="1" quotePrefix="1">
      <alignment horizontal="center" vertical="center"/>
    </xf>
    <xf numFmtId="0" fontId="6" fillId="0" borderId="27" xfId="0" applyFont="1" applyFill="1" applyBorder="1" applyAlignment="1" quotePrefix="1">
      <alignment horizontal="center" vertical="center"/>
    </xf>
    <xf numFmtId="0" fontId="4" fillId="0" borderId="12" xfId="0" applyFont="1" applyBorder="1" applyAlignment="1" quotePrefix="1">
      <alignment horizontal="left" vertical="center" wrapText="1"/>
    </xf>
    <xf numFmtId="0" fontId="4" fillId="0" borderId="13" xfId="0" applyFont="1" applyBorder="1" applyAlignment="1" quotePrefix="1">
      <alignment horizontal="center" vertical="center" wrapText="1"/>
    </xf>
    <xf numFmtId="0" fontId="4" fillId="3" borderId="13" xfId="0" applyFont="1" applyFill="1" applyBorder="1" applyAlignment="1" quotePrefix="1">
      <alignment horizontal="center" vertical="center" wrapText="1"/>
    </xf>
    <xf numFmtId="0" fontId="5" fillId="0" borderId="13" xfId="0" applyFont="1" applyBorder="1" applyAlignment="1" quotePrefix="1">
      <alignment horizontal="center" vertical="center" wrapText="1"/>
    </xf>
    <xf numFmtId="0" fontId="4" fillId="4" borderId="12" xfId="0" applyFont="1" applyFill="1" applyBorder="1" applyAlignment="1" quotePrefix="1">
      <alignment horizontal="left" vertical="center"/>
    </xf>
    <xf numFmtId="0" fontId="0" fillId="0" borderId="13" xfId="0" applyFont="1" applyFill="1" applyBorder="1" applyAlignment="1" quotePrefix="1">
      <alignment horizontal="left" vertical="center"/>
    </xf>
    <xf numFmtId="0" fontId="0" fillId="0" borderId="13" xfId="0" applyFont="1" applyFill="1" applyBorder="1" applyAlignment="1" quotePrefix="1">
      <alignment horizontal="center" vertical="center"/>
    </xf>
    <xf numFmtId="0" fontId="0" fillId="0" borderId="14" xfId="0" applyFont="1" applyFill="1" applyBorder="1" applyAlignment="1" quotePrefix="1">
      <alignment horizontal="center" vertical="center"/>
    </xf>
    <xf numFmtId="0" fontId="0" fillId="0" borderId="27" xfId="0" applyFont="1" applyFill="1" applyBorder="1" applyAlignment="1" quotePrefix="1">
      <alignment horizontal="center" vertical="center"/>
    </xf>
    <xf numFmtId="0" fontId="0" fillId="0" borderId="13" xfId="0" applyFill="1" applyBorder="1" applyAlignment="1" quotePrefix="1">
      <alignment horizontal="left" vertical="center" wrapText="1"/>
    </xf>
    <xf numFmtId="0" fontId="0" fillId="0" borderId="13" xfId="0" applyFill="1" applyBorder="1" applyAlignment="1" quotePrefix="1">
      <alignment horizontal="center" vertical="center" wrapText="1"/>
    </xf>
    <xf numFmtId="0" fontId="0" fillId="0" borderId="27" xfId="0" applyFill="1" applyBorder="1" applyAlignment="1" quotePrefix="1">
      <alignment horizontal="center" vertical="center" wrapText="1"/>
    </xf>
    <xf numFmtId="0" fontId="0" fillId="0" borderId="14" xfId="0" applyFont="1" applyFill="1" applyBorder="1" applyAlignment="1" quotePrefix="1">
      <alignment horizontal="center" vertical="center" wrapText="1"/>
    </xf>
    <xf numFmtId="0" fontId="0" fillId="0" borderId="13" xfId="0" applyFont="1" applyFill="1" applyBorder="1" applyAlignment="1" quotePrefix="1">
      <alignment horizontal="left" vertical="center" wrapText="1"/>
    </xf>
    <xf numFmtId="0" fontId="0" fillId="0" borderId="13" xfId="0" applyFont="1" applyFill="1" applyBorder="1" applyAlignment="1" quotePrefix="1">
      <alignment vertical="center"/>
    </xf>
    <xf numFmtId="0" fontId="5" fillId="3" borderId="13" xfId="0" applyFont="1" applyFill="1" applyBorder="1" applyAlignment="1" quotePrefix="1">
      <alignment horizontal="center" vertical="center" wrapText="1"/>
    </xf>
    <xf numFmtId="0" fontId="5" fillId="3" borderId="13" xfId="0" applyFont="1" applyFill="1" applyBorder="1" applyAlignment="1" quotePrefix="1">
      <alignment horizontal="center" vertical="center"/>
    </xf>
    <xf numFmtId="0" fontId="4" fillId="0" borderId="16" xfId="0" applyFont="1" applyBorder="1" applyAlignment="1" quotePrefix="1">
      <alignment horizontal="left" vertical="center" wrapText="1"/>
    </xf>
    <xf numFmtId="0" fontId="4" fillId="3" borderId="17" xfId="0" applyFont="1" applyFill="1" applyBorder="1" applyAlignment="1" quotePrefix="1">
      <alignment horizontal="center" vertical="center" wrapText="1"/>
    </xf>
    <xf numFmtId="0" fontId="4" fillId="0" borderId="17" xfId="0" applyFont="1" applyBorder="1" applyAlignment="1" quotePrefix="1">
      <alignment horizontal="center" vertical="center" wrapText="1"/>
    </xf>
    <xf numFmtId="0" fontId="4" fillId="0" borderId="18" xfId="0" applyFont="1" applyBorder="1" applyAlignment="1" quotePrefix="1">
      <alignment horizontal="left" vertical="center" wrapText="1"/>
    </xf>
    <xf numFmtId="0" fontId="4" fillId="3" borderId="19" xfId="0" applyFont="1" applyFill="1" applyBorder="1" applyAlignment="1" quotePrefix="1">
      <alignment horizontal="center" vertical="center" wrapText="1"/>
    </xf>
    <xf numFmtId="0" fontId="4" fillId="0" borderId="19" xfId="0" applyFont="1" applyBorder="1" applyAlignment="1" quotePrefix="1">
      <alignment horizontal="center" vertical="center" wrapText="1"/>
    </xf>
    <xf numFmtId="0" fontId="4" fillId="0" borderId="19" xfId="0" applyFont="1" applyBorder="1" applyAlignment="1" quotePrefix="1">
      <alignment horizontal="center" vertical="center"/>
    </xf>
    <xf numFmtId="0" fontId="4" fillId="0" borderId="20" xfId="0" applyFont="1" applyBorder="1" applyAlignment="1" quotePrefix="1">
      <alignment horizontal="left" vertical="center" wrapText="1"/>
    </xf>
    <xf numFmtId="0" fontId="4" fillId="3" borderId="21" xfId="0" applyFont="1" applyFill="1" applyBorder="1" applyAlignment="1" quotePrefix="1">
      <alignment horizontal="center" vertical="center" wrapText="1"/>
    </xf>
    <xf numFmtId="0" fontId="4" fillId="0" borderId="21" xfId="0" applyFont="1" applyBorder="1" applyAlignment="1" quotePrefix="1">
      <alignment horizontal="center" vertical="center" wrapText="1"/>
    </xf>
    <xf numFmtId="0" fontId="4" fillId="0" borderId="21" xfId="0" applyFont="1" applyBorder="1" applyAlignment="1" quotePrefix="1">
      <alignment horizontal="center" vertical="center"/>
    </xf>
    <xf numFmtId="0" fontId="4" fillId="0" borderId="7" xfId="0" applyFont="1" applyBorder="1" applyAlignment="1" quotePrefix="1">
      <alignment horizontal="left" vertical="center" wrapText="1"/>
    </xf>
    <xf numFmtId="0" fontId="4" fillId="3" borderId="8" xfId="0" applyFont="1" applyFill="1" applyBorder="1" applyAlignment="1" quotePrefix="1">
      <alignment horizontal="center" vertical="center" wrapText="1"/>
    </xf>
    <xf numFmtId="0" fontId="0" fillId="0" borderId="12" xfId="0" applyFill="1" applyBorder="1" applyAlignment="1" quotePrefix="1">
      <alignment horizontal="left" vertical="center" wrapText="1"/>
    </xf>
    <xf numFmtId="0" fontId="4" fillId="0" borderId="23" xfId="0" applyFont="1" applyBorder="1" applyAlignment="1" quotePrefix="1">
      <alignment horizontal="center" vertical="center" wrapText="1"/>
    </xf>
    <xf numFmtId="0" fontId="6" fillId="0" borderId="13" xfId="0" applyFont="1" applyBorder="1" applyAlignment="1" quotePrefix="1">
      <alignment horizontal="center" vertical="center" wrapText="1"/>
    </xf>
    <xf numFmtId="0" fontId="4" fillId="0" borderId="24" xfId="0" applyFont="1" applyBorder="1" applyAlignment="1" quotePrefix="1">
      <alignment horizontal="left" vertical="center" wrapText="1"/>
    </xf>
    <xf numFmtId="0" fontId="4" fillId="3" borderId="25" xfId="0" applyFont="1" applyFill="1" applyBorder="1" applyAlignment="1" quotePrefix="1">
      <alignment horizontal="center" vertical="center" wrapText="1"/>
    </xf>
    <xf numFmtId="0" fontId="4" fillId="0" borderId="25" xfId="0" applyFont="1" applyBorder="1" applyAlignment="1" quotePrefix="1">
      <alignment horizontal="center" vertical="center" wrapText="1"/>
    </xf>
    <xf numFmtId="0" fontId="6" fillId="0" borderId="25" xfId="0" applyFont="1" applyBorder="1" applyAlignment="1" quotePrefix="1">
      <alignment horizontal="center" vertical="center" wrapText="1"/>
    </xf>
    <xf numFmtId="0" fontId="4" fillId="0" borderId="38" xfId="0" applyFont="1" applyBorder="1" applyAlignment="1" quotePrefix="1">
      <alignment horizontal="left" vertical="center" wrapText="1"/>
    </xf>
    <xf numFmtId="0" fontId="4" fillId="3" borderId="23" xfId="0" applyFont="1" applyFill="1" applyBorder="1" applyAlignment="1" quotePrefix="1">
      <alignment horizontal="center" vertical="center" wrapText="1"/>
    </xf>
    <xf numFmtId="0" fontId="6" fillId="0" borderId="23" xfId="0" applyFont="1" applyBorder="1" applyAlignment="1" quotePrefix="1">
      <alignment horizontal="center" vertical="center" wrapText="1"/>
    </xf>
    <xf numFmtId="0" fontId="0" fillId="0" borderId="25" xfId="0" applyFill="1" applyBorder="1" applyAlignment="1" quotePrefix="1">
      <alignment horizontal="left" vertical="center" wrapText="1"/>
    </xf>
    <xf numFmtId="0" fontId="0" fillId="0" borderId="25" xfId="0" applyFill="1" applyBorder="1" applyAlignment="1" quotePrefix="1">
      <alignment horizontal="center" vertical="center" wrapText="1"/>
    </xf>
    <xf numFmtId="0" fontId="4" fillId="0" borderId="13" xfId="0" applyFont="1" applyBorder="1" applyAlignment="1" quotePrefix="1">
      <alignment horizontal="left" vertical="center" wrapText="1"/>
    </xf>
    <xf numFmtId="0" fontId="0" fillId="0" borderId="41" xfId="0" applyFill="1" applyBorder="1" applyAlignment="1" quotePrefix="1">
      <alignment vertical="center" wrapText="1"/>
    </xf>
    <xf numFmtId="0" fontId="0" fillId="0" borderId="41" xfId="0" applyFill="1" applyBorder="1" applyAlignment="1" quotePrefix="1">
      <alignment horizontal="center" vertical="center" wrapText="1"/>
    </xf>
    <xf numFmtId="0" fontId="11" fillId="4" borderId="12" xfId="0" applyFont="1" applyFill="1" applyBorder="1" applyAlignment="1" quotePrefix="1">
      <alignment horizontal="left" vertical="center" wrapText="1"/>
    </xf>
    <xf numFmtId="0" fontId="11" fillId="4" borderId="13" xfId="0" applyFont="1" applyFill="1" applyBorder="1" applyAlignment="1" quotePrefix="1">
      <alignment horizontal="center" vertical="center" wrapText="1"/>
    </xf>
    <xf numFmtId="0" fontId="11" fillId="4" borderId="23" xfId="0" applyFont="1" applyFill="1" applyBorder="1" applyAlignment="1" quotePrefix="1">
      <alignment horizontal="center" vertical="center" wrapText="1"/>
    </xf>
    <xf numFmtId="0" fontId="4" fillId="4" borderId="13" xfId="0" applyFont="1" applyFill="1" applyBorder="1" applyAlignment="1" quotePrefix="1">
      <alignment horizontal="center" vertical="center" wrapText="1"/>
    </xf>
    <xf numFmtId="0" fontId="11" fillId="4" borderId="16" xfId="0" applyFont="1" applyFill="1" applyBorder="1" applyAlignment="1" quotePrefix="1">
      <alignment horizontal="left" vertical="center" wrapText="1"/>
    </xf>
    <xf numFmtId="0" fontId="12" fillId="4" borderId="13" xfId="0" applyFont="1" applyFill="1" applyBorder="1" applyAlignment="1" quotePrefix="1">
      <alignment vertical="center" wrapText="1"/>
    </xf>
    <xf numFmtId="0" fontId="11" fillId="4" borderId="17" xfId="0" applyFont="1" applyFill="1" applyBorder="1" applyAlignment="1" quotePrefix="1">
      <alignment horizontal="center" vertical="center" wrapText="1"/>
    </xf>
    <xf numFmtId="0" fontId="4" fillId="4" borderId="17" xfId="0" applyFont="1" applyFill="1" applyBorder="1" applyAlignment="1" quotePrefix="1">
      <alignment horizontal="center" vertical="center" wrapText="1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analog-devices-inc-maxim-integrated/MAX14850ASE/3517194" TargetMode="External"/><Relationship Id="rId7" Type="http://schemas.openxmlformats.org/officeDocument/2006/relationships/hyperlink" Target="https://eu.mouser.com/ProductDetail/Texas-Instruments/SN74LVTH125PWR?qs=X1HXWTtiZ0RDX33gztVE8g%3D%3D" TargetMode="External"/><Relationship Id="rId6" Type="http://schemas.openxmlformats.org/officeDocument/2006/relationships/hyperlink" Target="https://www.digikey.com/en/products/detail/harwin-inc/M55-7012642R/8537598?s=N4IgTCBcDaILIFYEFoDsAGAjGAbAFjACUQBdAXyA" TargetMode="External"/><Relationship Id="rId5" Type="http://schemas.openxmlformats.org/officeDocument/2006/relationships/hyperlink" Target="https://www.digikey.com/en/products/detail/taiyo-yuden/UMK105ABJ474KV-F/4157220?s=N4IgTCBcDaIKoFkDSBGADAVgIICEBSALAOwFIBqAtAGIgC6AvkA" TargetMode="External"/><Relationship Id="rId4" Type="http://schemas.openxmlformats.org/officeDocument/2006/relationships/hyperlink" Target="https://www.digikey.com/en/products/detail/yageo/CC0402KRX7R8BB103/2103075?s=N4IgTCBcDaIMJwAwBZFgNICUAaB2TAHAEJECMiAzCALoC%2BQA" TargetMode="External"/><Relationship Id="rId3" Type="http://schemas.openxmlformats.org/officeDocument/2006/relationships/hyperlink" Target="https://www.digikey.com/en/products/detail/samsung-electro-mechanics/CL05B104KB54PNC/11487801?s=N4IgTCBcDaIMIBkAMBWAQgRiQFgNJpWwAUA5OEAXQF8g" TargetMode="External"/><Relationship Id="rId2" Type="http://schemas.openxmlformats.org/officeDocument/2006/relationships/hyperlink" Target="https://www.digikey.com/en/products/detail/samsung-electro-mechanics/CL10B104KB8NNNC/3886658?s=N4IgTCBcDaIMIBkCMAGAQqgLAaTQDgDki4QBdAXyA" TargetMode="External"/><Relationship Id="rId1" Type="http://schemas.openxmlformats.org/officeDocument/2006/relationships/hyperlink" Target="https://www.digikey.com/en/products/detail/nichicon/UCD1H221MNL1GS/2549681?s=N4IgTCBcDaIKoGEAiBGAEmMKCyA5AMigOIDKIAug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88"/>
  <sheetViews>
    <sheetView tabSelected="1" zoomScale="84" zoomScaleNormal="84" topLeftCell="I1" workbookViewId="0">
      <selection activeCell="X7" sqref="$A1:$XFD1048576"/>
    </sheetView>
  </sheetViews>
  <sheetFormatPr defaultColWidth="9" defaultRowHeight="15"/>
  <cols>
    <col min="1" max="1" width="6.14285714285714" customWidth="1"/>
    <col min="2" max="2" width="12.2857142857143" customWidth="1"/>
    <col min="3" max="3" width="44.2857142857143" customWidth="1"/>
    <col min="4" max="4" width="21.5714285714286" customWidth="1"/>
    <col min="5" max="5" width="18.5714285714286" customWidth="1"/>
    <col min="6" max="6" width="28.5714285714286" customWidth="1"/>
    <col min="7" max="7" width="28.2857142857143" customWidth="1"/>
    <col min="8" max="8" width="19.8571428571429" customWidth="1"/>
    <col min="9" max="9" width="6.28571428571429" customWidth="1"/>
    <col min="10" max="10" width="19.4285714285714" customWidth="1"/>
    <col min="11" max="14" width="18" customWidth="1"/>
    <col min="15" max="15" width="11.5714285714286" customWidth="1"/>
    <col min="16" max="16" width="12.1428571428571" customWidth="1"/>
    <col min="17" max="17" width="18.7142857142857" customWidth="1"/>
    <col min="18" max="18" width="12.5714285714286" customWidth="1"/>
    <col min="19" max="19" width="19.7142857142857" customWidth="1"/>
    <col min="20" max="20" width="13.7142857142857" customWidth="1"/>
    <col min="21" max="21" width="20.7142857142857" customWidth="1"/>
    <col min="22" max="22" width="14.7142857142857" customWidth="1"/>
    <col min="23" max="23" width="27.5714285714286" customWidth="1"/>
  </cols>
  <sheetData>
    <row r="1" ht="16.5" spans="1:23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105"/>
    </row>
    <row r="2" s="1" customFormat="1" ht="15.75" spans="1:23">
      <c r="A2" s="4" t="s">
        <v>1</v>
      </c>
      <c r="B2" s="5" t="s">
        <v>2</v>
      </c>
      <c r="C2" s="6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5" t="s">
        <v>9</v>
      </c>
      <c r="J2" s="6" t="s">
        <v>10</v>
      </c>
      <c r="K2" s="5" t="s">
        <v>11</v>
      </c>
      <c r="L2" s="72" t="s">
        <v>12</v>
      </c>
      <c r="M2" s="73" t="s">
        <v>13</v>
      </c>
      <c r="N2" s="73" t="s">
        <v>14</v>
      </c>
      <c r="O2" s="73" t="s">
        <v>15</v>
      </c>
      <c r="P2" s="73" t="s">
        <v>16</v>
      </c>
      <c r="Q2" s="106" t="s">
        <v>17</v>
      </c>
      <c r="R2" s="73" t="s">
        <v>18</v>
      </c>
      <c r="S2" s="106" t="s">
        <v>19</v>
      </c>
      <c r="T2" s="73" t="s">
        <v>20</v>
      </c>
      <c r="U2" s="106" t="s">
        <v>21</v>
      </c>
      <c r="V2" s="73" t="s">
        <v>22</v>
      </c>
      <c r="W2" s="107" t="s">
        <v>23</v>
      </c>
    </row>
    <row r="3" ht="26.25" spans="1:23">
      <c r="A3" s="4">
        <v>1</v>
      </c>
      <c r="B3" s="7" t="s">
        <v>24</v>
      </c>
      <c r="C3" s="159" t="s">
        <v>25</v>
      </c>
      <c r="D3" s="9" t="s">
        <v>26</v>
      </c>
      <c r="E3" s="160" t="s">
        <v>27</v>
      </c>
      <c r="F3" s="160" t="s">
        <v>28</v>
      </c>
      <c r="G3" s="160" t="s">
        <v>29</v>
      </c>
      <c r="H3" s="161" t="s">
        <v>30</v>
      </c>
      <c r="I3" s="160" t="s">
        <v>31</v>
      </c>
      <c r="J3" s="10">
        <v>1</v>
      </c>
      <c r="K3" s="74">
        <f>J3*5</f>
        <v>5</v>
      </c>
      <c r="L3" s="74">
        <f>J3*25</f>
        <v>25</v>
      </c>
      <c r="M3" s="74">
        <f>J3*100</f>
        <v>100</v>
      </c>
      <c r="N3" s="74"/>
      <c r="O3" s="75">
        <v>1.58</v>
      </c>
      <c r="P3" s="76">
        <f>O3*J3</f>
        <v>1.58</v>
      </c>
      <c r="Q3" s="75">
        <v>1.245</v>
      </c>
      <c r="R3" s="76">
        <f>Q3*K3</f>
        <v>6.225</v>
      </c>
      <c r="S3" s="76">
        <v>1.0794</v>
      </c>
      <c r="T3" s="76">
        <f>S3*L3</f>
        <v>26.985</v>
      </c>
      <c r="U3" s="76">
        <v>0.9341</v>
      </c>
      <c r="V3" s="76">
        <f>U3*M3</f>
        <v>93.41</v>
      </c>
      <c r="W3" s="108" t="s">
        <v>32</v>
      </c>
    </row>
    <row r="4" ht="15.75" spans="1:23">
      <c r="A4" s="4"/>
      <c r="B4" s="12"/>
      <c r="C4" s="162" t="s">
        <v>33</v>
      </c>
      <c r="D4" s="163" t="s">
        <v>34</v>
      </c>
      <c r="E4" s="14"/>
      <c r="F4" s="164" t="s">
        <v>35</v>
      </c>
      <c r="G4" s="163" t="s">
        <v>36</v>
      </c>
      <c r="H4" s="16"/>
      <c r="I4" s="165" t="s">
        <v>31</v>
      </c>
      <c r="J4" s="14">
        <v>1</v>
      </c>
      <c r="K4" s="74">
        <f>J4*5</f>
        <v>5</v>
      </c>
      <c r="L4" s="74">
        <f t="shared" ref="L4:L35" si="0">J4*25</f>
        <v>25</v>
      </c>
      <c r="M4" s="74">
        <f t="shared" ref="M4:M35" si="1">J4*100</f>
        <v>100</v>
      </c>
      <c r="N4" s="78" t="s">
        <v>37</v>
      </c>
      <c r="O4" s="79">
        <v>0.92</v>
      </c>
      <c r="P4" s="80"/>
      <c r="Q4" s="79">
        <v>0.92</v>
      </c>
      <c r="R4" s="80"/>
      <c r="S4" s="79">
        <v>0.677</v>
      </c>
      <c r="T4" s="80"/>
      <c r="U4" s="79">
        <v>0.4642</v>
      </c>
      <c r="V4" s="80"/>
      <c r="W4" s="109"/>
    </row>
    <row r="5" ht="30.75" spans="1:23">
      <c r="A5" s="4">
        <v>2</v>
      </c>
      <c r="B5" s="12"/>
      <c r="C5" s="166" t="s">
        <v>38</v>
      </c>
      <c r="D5" s="167" t="s">
        <v>39</v>
      </c>
      <c r="E5" s="168" t="s">
        <v>40</v>
      </c>
      <c r="F5" s="168" t="s">
        <v>41</v>
      </c>
      <c r="G5" s="168" t="s">
        <v>42</v>
      </c>
      <c r="H5" s="20"/>
      <c r="I5" s="168" t="s">
        <v>43</v>
      </c>
      <c r="J5" s="19">
        <v>9</v>
      </c>
      <c r="K5" s="74">
        <f>J5*5</f>
        <v>45</v>
      </c>
      <c r="L5" s="74">
        <f t="shared" si="0"/>
        <v>225</v>
      </c>
      <c r="M5" s="74">
        <f t="shared" si="1"/>
        <v>900</v>
      </c>
      <c r="N5" s="81" t="s">
        <v>37</v>
      </c>
      <c r="O5" s="82">
        <v>0.1</v>
      </c>
      <c r="P5" s="83">
        <f>O5*J5</f>
        <v>0.9</v>
      </c>
      <c r="Q5" s="79">
        <v>0.029</v>
      </c>
      <c r="R5" s="83">
        <f>Q5*K5</f>
        <v>1.305</v>
      </c>
      <c r="S5" s="79">
        <v>0.013</v>
      </c>
      <c r="T5" s="83">
        <f>S5*L5</f>
        <v>2.925</v>
      </c>
      <c r="U5" s="79">
        <v>0.00932</v>
      </c>
      <c r="V5" s="83">
        <f>U5*M5</f>
        <v>8.388</v>
      </c>
      <c r="W5" s="110"/>
    </row>
    <row r="6" ht="15.75" spans="1:23">
      <c r="A6" s="4"/>
      <c r="B6" s="12"/>
      <c r="C6" s="169" t="s">
        <v>44</v>
      </c>
      <c r="D6" s="170" t="s">
        <v>45</v>
      </c>
      <c r="E6" s="170" t="s">
        <v>46</v>
      </c>
      <c r="F6" s="171" t="s">
        <v>47</v>
      </c>
      <c r="G6" s="170" t="s">
        <v>42</v>
      </c>
      <c r="H6" s="24"/>
      <c r="I6" s="172" t="s">
        <v>48</v>
      </c>
      <c r="J6" s="22">
        <v>2</v>
      </c>
      <c r="K6" s="74">
        <f>J6*5</f>
        <v>10</v>
      </c>
      <c r="L6" s="74">
        <f t="shared" si="0"/>
        <v>50</v>
      </c>
      <c r="M6" s="74">
        <f t="shared" si="1"/>
        <v>200</v>
      </c>
      <c r="N6" s="85" t="s">
        <v>37</v>
      </c>
      <c r="O6" s="79">
        <v>0.1</v>
      </c>
      <c r="P6" s="83"/>
      <c r="Q6" s="79">
        <v>0.05</v>
      </c>
      <c r="R6" s="83"/>
      <c r="S6" s="79">
        <v>0.0272</v>
      </c>
      <c r="T6" s="83"/>
      <c r="U6" s="79">
        <v>0.0223</v>
      </c>
      <c r="V6" s="83"/>
      <c r="W6" s="110"/>
    </row>
    <row r="7" ht="15.75" spans="1:23">
      <c r="A7" s="4"/>
      <c r="B7" s="12"/>
      <c r="C7" s="173" t="s">
        <v>49</v>
      </c>
      <c r="D7" s="174" t="s">
        <v>50</v>
      </c>
      <c r="E7" s="174" t="s">
        <v>46</v>
      </c>
      <c r="F7" s="175" t="s">
        <v>51</v>
      </c>
      <c r="G7" s="174" t="s">
        <v>52</v>
      </c>
      <c r="H7" s="28"/>
      <c r="I7" s="176" t="s">
        <v>53</v>
      </c>
      <c r="J7" s="26">
        <v>1</v>
      </c>
      <c r="K7" s="74">
        <f>J7*5</f>
        <v>5</v>
      </c>
      <c r="L7" s="74">
        <f t="shared" si="0"/>
        <v>25</v>
      </c>
      <c r="M7" s="74">
        <f t="shared" si="1"/>
        <v>100</v>
      </c>
      <c r="N7" s="81" t="s">
        <v>37</v>
      </c>
      <c r="O7" s="79">
        <v>0.1</v>
      </c>
      <c r="P7" s="83"/>
      <c r="Q7" s="79">
        <v>0.1</v>
      </c>
      <c r="R7" s="83"/>
      <c r="S7" s="79">
        <v>0.018</v>
      </c>
      <c r="T7" s="83"/>
      <c r="U7" s="79">
        <v>0.008</v>
      </c>
      <c r="V7" s="83"/>
      <c r="W7" s="110"/>
    </row>
    <row r="8" ht="15.75" spans="1:23">
      <c r="A8" s="4"/>
      <c r="B8" s="12"/>
      <c r="C8" s="177" t="s">
        <v>54</v>
      </c>
      <c r="D8" s="178" t="s">
        <v>55</v>
      </c>
      <c r="E8" s="178" t="s">
        <v>46</v>
      </c>
      <c r="F8" s="179" t="s">
        <v>56</v>
      </c>
      <c r="G8" s="178" t="s">
        <v>57</v>
      </c>
      <c r="H8" s="28"/>
      <c r="I8" s="180" t="s">
        <v>58</v>
      </c>
      <c r="J8" s="30">
        <v>2</v>
      </c>
      <c r="K8" s="74">
        <f t="shared" ref="K8:K39" si="2">J8*5</f>
        <v>10</v>
      </c>
      <c r="L8" s="74">
        <f t="shared" si="0"/>
        <v>50</v>
      </c>
      <c r="M8" s="74">
        <f t="shared" si="1"/>
        <v>200</v>
      </c>
      <c r="N8" s="81" t="s">
        <v>37</v>
      </c>
      <c r="O8" s="79">
        <v>0.24</v>
      </c>
      <c r="P8" s="83"/>
      <c r="Q8" s="79">
        <v>0.161</v>
      </c>
      <c r="R8" s="83"/>
      <c r="S8" s="79">
        <v>0.0968</v>
      </c>
      <c r="T8" s="83"/>
      <c r="U8" s="79">
        <v>0.0817</v>
      </c>
      <c r="V8" s="83"/>
      <c r="W8" s="110"/>
    </row>
    <row r="9" ht="15.75" spans="1:23">
      <c r="A9" s="4">
        <v>3</v>
      </c>
      <c r="B9" s="12"/>
      <c r="C9" s="181" t="s">
        <v>59</v>
      </c>
      <c r="D9" s="33" t="s">
        <v>60</v>
      </c>
      <c r="E9" s="182" t="s">
        <v>61</v>
      </c>
      <c r="F9" s="182" t="s">
        <v>62</v>
      </c>
      <c r="G9" s="182" t="s">
        <v>63</v>
      </c>
      <c r="H9" s="35" t="s">
        <v>64</v>
      </c>
      <c r="I9" s="182" t="s">
        <v>65</v>
      </c>
      <c r="J9" s="34">
        <v>1</v>
      </c>
      <c r="K9" s="74">
        <f t="shared" si="2"/>
        <v>5</v>
      </c>
      <c r="L9" s="74">
        <f t="shared" si="0"/>
        <v>25</v>
      </c>
      <c r="M9" s="74">
        <f t="shared" si="1"/>
        <v>100</v>
      </c>
      <c r="N9" s="88"/>
      <c r="O9" s="82">
        <v>0.48</v>
      </c>
      <c r="P9" s="83">
        <f>O9*J9</f>
        <v>0.48</v>
      </c>
      <c r="Q9" s="82">
        <v>0.48</v>
      </c>
      <c r="R9" s="83">
        <f>Q9*K9</f>
        <v>2.4</v>
      </c>
      <c r="S9" s="83">
        <v>0.341</v>
      </c>
      <c r="T9" s="83">
        <f>S9*L9</f>
        <v>8.525</v>
      </c>
      <c r="U9" s="83">
        <v>0.2248</v>
      </c>
      <c r="V9" s="83">
        <f>U9*M9</f>
        <v>22.48</v>
      </c>
      <c r="W9" s="110"/>
    </row>
    <row r="10" ht="15.75" spans="1:23">
      <c r="A10" s="4">
        <v>4</v>
      </c>
      <c r="B10" s="12"/>
      <c r="C10" s="166" t="s">
        <v>66</v>
      </c>
      <c r="D10" s="183" t="s">
        <v>67</v>
      </c>
      <c r="E10" s="182" t="s">
        <v>27</v>
      </c>
      <c r="F10" s="182" t="s">
        <v>68</v>
      </c>
      <c r="G10" s="182" t="s">
        <v>69</v>
      </c>
      <c r="H10" s="184" t="s">
        <v>70</v>
      </c>
      <c r="I10" s="182" t="s">
        <v>71</v>
      </c>
      <c r="J10" s="34">
        <v>1</v>
      </c>
      <c r="K10" s="74">
        <f t="shared" si="2"/>
        <v>5</v>
      </c>
      <c r="L10" s="74">
        <f t="shared" si="0"/>
        <v>25</v>
      </c>
      <c r="M10" s="74">
        <f t="shared" si="1"/>
        <v>100</v>
      </c>
      <c r="N10" s="88"/>
      <c r="O10" s="82">
        <v>2.77</v>
      </c>
      <c r="P10" s="83">
        <f>O10*J10</f>
        <v>2.77</v>
      </c>
      <c r="Q10" s="82">
        <v>2.77</v>
      </c>
      <c r="R10" s="83">
        <f>Q10*K10</f>
        <v>13.85</v>
      </c>
      <c r="S10" s="83">
        <v>2.243</v>
      </c>
      <c r="T10" s="83">
        <f>S10*L10</f>
        <v>56.075</v>
      </c>
      <c r="U10" s="83">
        <v>1.9572</v>
      </c>
      <c r="V10" s="83">
        <f>U10*M10</f>
        <v>195.72</v>
      </c>
      <c r="W10" s="110" t="s">
        <v>72</v>
      </c>
    </row>
    <row r="11" ht="15.75" spans="1:23">
      <c r="A11" s="4">
        <v>7</v>
      </c>
      <c r="B11" s="12"/>
      <c r="C11" s="181" t="s">
        <v>73</v>
      </c>
      <c r="D11" s="183" t="s">
        <v>74</v>
      </c>
      <c r="E11" s="182" t="s">
        <v>75</v>
      </c>
      <c r="F11" s="182" t="s">
        <v>76</v>
      </c>
      <c r="G11" s="182" t="s">
        <v>57</v>
      </c>
      <c r="H11" s="35" t="s">
        <v>77</v>
      </c>
      <c r="I11" s="182" t="s">
        <v>58</v>
      </c>
      <c r="J11" s="34">
        <v>1</v>
      </c>
      <c r="K11" s="74">
        <f t="shared" si="2"/>
        <v>5</v>
      </c>
      <c r="L11" s="74">
        <f t="shared" si="0"/>
        <v>25</v>
      </c>
      <c r="M11" s="74">
        <f t="shared" si="1"/>
        <v>100</v>
      </c>
      <c r="N11" s="88"/>
      <c r="O11" s="82">
        <v>0.27</v>
      </c>
      <c r="P11" s="83">
        <f>O11*J11</f>
        <v>0.27</v>
      </c>
      <c r="Q11" s="82">
        <v>0.27</v>
      </c>
      <c r="R11" s="83">
        <f>Q11*K11</f>
        <v>1.35</v>
      </c>
      <c r="S11" s="83">
        <v>0.181</v>
      </c>
      <c r="T11" s="83">
        <f>S11*L11</f>
        <v>4.525</v>
      </c>
      <c r="U11" s="83">
        <v>0.0918</v>
      </c>
      <c r="V11" s="83">
        <f>U11*M11</f>
        <v>9.18</v>
      </c>
      <c r="W11" s="110"/>
    </row>
    <row r="12" ht="15.75" spans="1:23">
      <c r="A12" s="4">
        <v>9</v>
      </c>
      <c r="B12" s="12"/>
      <c r="C12" s="166" t="s">
        <v>78</v>
      </c>
      <c r="D12" s="183" t="s">
        <v>79</v>
      </c>
      <c r="E12" s="182" t="s">
        <v>75</v>
      </c>
      <c r="F12" s="182" t="s">
        <v>80</v>
      </c>
      <c r="G12" s="182" t="s">
        <v>52</v>
      </c>
      <c r="H12" s="184" t="s">
        <v>81</v>
      </c>
      <c r="I12" s="182" t="s">
        <v>65</v>
      </c>
      <c r="J12" s="34">
        <v>1</v>
      </c>
      <c r="K12" s="74">
        <f t="shared" si="2"/>
        <v>5</v>
      </c>
      <c r="L12" s="74">
        <f t="shared" si="0"/>
        <v>25</v>
      </c>
      <c r="M12" s="74">
        <f t="shared" si="1"/>
        <v>100</v>
      </c>
      <c r="N12" s="88"/>
      <c r="O12" s="82">
        <v>0.12</v>
      </c>
      <c r="P12" s="83">
        <f>O12*J12</f>
        <v>0.12</v>
      </c>
      <c r="Q12" s="82">
        <v>0.12</v>
      </c>
      <c r="R12" s="83">
        <f>Q12*K12</f>
        <v>0.6</v>
      </c>
      <c r="S12" s="83">
        <v>0.084</v>
      </c>
      <c r="T12" s="83">
        <f>S12*L12</f>
        <v>2.1</v>
      </c>
      <c r="U12" s="83">
        <v>0.0394</v>
      </c>
      <c r="V12" s="83">
        <f>U12*M12</f>
        <v>3.94</v>
      </c>
      <c r="W12" s="110"/>
    </row>
    <row r="13" ht="30.75" spans="1:23">
      <c r="A13" s="4">
        <v>10</v>
      </c>
      <c r="B13" s="12"/>
      <c r="C13" s="185" t="s">
        <v>82</v>
      </c>
      <c r="D13" s="169" t="s">
        <v>83</v>
      </c>
      <c r="E13" s="182" t="s">
        <v>75</v>
      </c>
      <c r="F13" s="182" t="s">
        <v>84</v>
      </c>
      <c r="G13" s="182" t="s">
        <v>85</v>
      </c>
      <c r="H13" s="35" t="s">
        <v>86</v>
      </c>
      <c r="I13" s="182" t="s">
        <v>87</v>
      </c>
      <c r="J13" s="34">
        <v>9</v>
      </c>
      <c r="K13" s="74">
        <f t="shared" si="2"/>
        <v>45</v>
      </c>
      <c r="L13" s="74">
        <f t="shared" si="0"/>
        <v>225</v>
      </c>
      <c r="M13" s="74">
        <f t="shared" si="1"/>
        <v>900</v>
      </c>
      <c r="N13" s="88"/>
      <c r="O13" s="82">
        <v>0.21</v>
      </c>
      <c r="P13" s="83">
        <f>O13*J13</f>
        <v>1.89</v>
      </c>
      <c r="Q13" s="82">
        <v>0.143</v>
      </c>
      <c r="R13" s="83">
        <f>Q13*K13</f>
        <v>6.435</v>
      </c>
      <c r="S13" s="83">
        <v>0.0724</v>
      </c>
      <c r="T13" s="83">
        <f>S13*L13</f>
        <v>16.29</v>
      </c>
      <c r="U13" s="83">
        <v>0.04952</v>
      </c>
      <c r="V13" s="83">
        <f>U13*M13</f>
        <v>44.568</v>
      </c>
      <c r="W13" s="110"/>
    </row>
    <row r="14" ht="15.75" spans="1:23">
      <c r="A14" s="4"/>
      <c r="B14" s="12"/>
      <c r="C14" s="173" t="s">
        <v>88</v>
      </c>
      <c r="D14" s="174" t="s">
        <v>89</v>
      </c>
      <c r="E14" s="174" t="s">
        <v>75</v>
      </c>
      <c r="F14" s="175" t="s">
        <v>90</v>
      </c>
      <c r="G14" s="174" t="s">
        <v>42</v>
      </c>
      <c r="H14" s="28"/>
      <c r="I14" s="176" t="s">
        <v>91</v>
      </c>
      <c r="J14" s="26">
        <v>4</v>
      </c>
      <c r="K14" s="74">
        <f t="shared" si="2"/>
        <v>20</v>
      </c>
      <c r="L14" s="74">
        <f t="shared" si="0"/>
        <v>100</v>
      </c>
      <c r="M14" s="74">
        <f t="shared" si="1"/>
        <v>400</v>
      </c>
      <c r="N14" s="88"/>
      <c r="O14" s="82"/>
      <c r="P14" s="83"/>
      <c r="Q14" s="82"/>
      <c r="R14" s="83"/>
      <c r="S14" s="83"/>
      <c r="T14" s="83"/>
      <c r="U14" s="83"/>
      <c r="V14" s="83"/>
      <c r="W14" s="110"/>
    </row>
    <row r="15" ht="15.75" spans="1:23">
      <c r="A15" s="4"/>
      <c r="B15" s="12"/>
      <c r="C15" s="173" t="s">
        <v>92</v>
      </c>
      <c r="D15" s="174" t="s">
        <v>93</v>
      </c>
      <c r="E15" s="174" t="s">
        <v>75</v>
      </c>
      <c r="F15" s="175" t="s">
        <v>94</v>
      </c>
      <c r="G15" s="174" t="s">
        <v>52</v>
      </c>
      <c r="H15" s="28"/>
      <c r="I15" s="176" t="s">
        <v>95</v>
      </c>
      <c r="J15" s="26">
        <v>1</v>
      </c>
      <c r="K15" s="74">
        <f t="shared" si="2"/>
        <v>5</v>
      </c>
      <c r="L15" s="74">
        <f t="shared" si="0"/>
        <v>25</v>
      </c>
      <c r="M15" s="74">
        <f t="shared" si="1"/>
        <v>100</v>
      </c>
      <c r="N15" s="88"/>
      <c r="O15" s="82"/>
      <c r="P15" s="83"/>
      <c r="Q15" s="82"/>
      <c r="R15" s="83"/>
      <c r="S15" s="83"/>
      <c r="T15" s="83"/>
      <c r="U15" s="83"/>
      <c r="V15" s="83"/>
      <c r="W15" s="110"/>
    </row>
    <row r="16" ht="15.75" spans="1:23">
      <c r="A16" s="4">
        <v>11</v>
      </c>
      <c r="B16" s="12"/>
      <c r="C16" s="181" t="s">
        <v>96</v>
      </c>
      <c r="D16" s="170" t="s">
        <v>97</v>
      </c>
      <c r="E16" s="182" t="s">
        <v>40</v>
      </c>
      <c r="F16" s="182" t="s">
        <v>98</v>
      </c>
      <c r="G16" s="182" t="s">
        <v>42</v>
      </c>
      <c r="H16" s="35" t="s">
        <v>99</v>
      </c>
      <c r="I16" s="182" t="s">
        <v>100</v>
      </c>
      <c r="J16" s="34">
        <v>3</v>
      </c>
      <c r="K16" s="74">
        <f t="shared" si="2"/>
        <v>15</v>
      </c>
      <c r="L16" s="74">
        <f t="shared" si="0"/>
        <v>75</v>
      </c>
      <c r="M16" s="74">
        <f t="shared" si="1"/>
        <v>300</v>
      </c>
      <c r="N16" s="88"/>
      <c r="O16" s="82">
        <v>0.31</v>
      </c>
      <c r="P16" s="83">
        <f>O16*J16</f>
        <v>0.93</v>
      </c>
      <c r="Q16" s="82">
        <v>0.143</v>
      </c>
      <c r="R16" s="83">
        <f>Q16*K16</f>
        <v>2.145</v>
      </c>
      <c r="S16" s="83">
        <v>0.1416</v>
      </c>
      <c r="T16" s="83">
        <f>S16*L16</f>
        <v>10.62</v>
      </c>
      <c r="U16" s="83">
        <v>0.1204</v>
      </c>
      <c r="V16" s="83">
        <f>U16*M16</f>
        <v>36.12</v>
      </c>
      <c r="W16" s="110"/>
    </row>
    <row r="17" ht="15.75" spans="1:23">
      <c r="A17" s="4"/>
      <c r="B17" s="12"/>
      <c r="C17" s="186" t="s">
        <v>101</v>
      </c>
      <c r="D17" s="187" t="s">
        <v>102</v>
      </c>
      <c r="E17" s="187" t="s">
        <v>46</v>
      </c>
      <c r="F17" s="188" t="s">
        <v>103</v>
      </c>
      <c r="G17" s="187" t="s">
        <v>104</v>
      </c>
      <c r="I17" s="189" t="s">
        <v>105</v>
      </c>
      <c r="J17" s="38">
        <v>1</v>
      </c>
      <c r="K17" s="74">
        <f t="shared" si="2"/>
        <v>5</v>
      </c>
      <c r="L17" s="74">
        <f t="shared" si="0"/>
        <v>25</v>
      </c>
      <c r="M17" s="74">
        <f t="shared" si="1"/>
        <v>100</v>
      </c>
      <c r="N17" s="88"/>
      <c r="O17" s="82"/>
      <c r="P17" s="83"/>
      <c r="Q17" s="82"/>
      <c r="R17" s="83"/>
      <c r="S17" s="83"/>
      <c r="T17" s="83"/>
      <c r="U17" s="83"/>
      <c r="V17" s="83"/>
      <c r="W17" s="110"/>
    </row>
    <row r="18" ht="15.75" spans="1:23">
      <c r="A18" s="4"/>
      <c r="B18" s="12"/>
      <c r="C18" s="190" t="s">
        <v>106</v>
      </c>
      <c r="D18" s="191" t="s">
        <v>107</v>
      </c>
      <c r="E18" s="191" t="s">
        <v>108</v>
      </c>
      <c r="F18" s="171" t="s">
        <v>109</v>
      </c>
      <c r="G18" s="191" t="s">
        <v>110</v>
      </c>
      <c r="H18" s="42"/>
      <c r="I18" s="192" t="s">
        <v>111</v>
      </c>
      <c r="J18" s="41">
        <v>1</v>
      </c>
      <c r="K18" s="74">
        <f t="shared" si="2"/>
        <v>5</v>
      </c>
      <c r="L18" s="74">
        <f t="shared" si="0"/>
        <v>25</v>
      </c>
      <c r="M18" s="74">
        <f t="shared" si="1"/>
        <v>100</v>
      </c>
      <c r="N18" s="88"/>
      <c r="O18" s="82"/>
      <c r="P18" s="83"/>
      <c r="Q18" s="82"/>
      <c r="R18" s="83"/>
      <c r="S18" s="83"/>
      <c r="T18" s="83"/>
      <c r="U18" s="83"/>
      <c r="V18" s="83"/>
      <c r="W18" s="110"/>
    </row>
    <row r="19" ht="15.75" spans="1:23">
      <c r="A19" s="4"/>
      <c r="B19" s="12"/>
      <c r="C19" s="190" t="s">
        <v>112</v>
      </c>
      <c r="D19" s="191" t="s">
        <v>113</v>
      </c>
      <c r="E19" s="191" t="s">
        <v>75</v>
      </c>
      <c r="F19" s="171" t="s">
        <v>114</v>
      </c>
      <c r="G19" s="191" t="s">
        <v>52</v>
      </c>
      <c r="H19" s="42"/>
      <c r="I19" s="192" t="s">
        <v>115</v>
      </c>
      <c r="J19" s="41">
        <v>1</v>
      </c>
      <c r="K19" s="74">
        <f t="shared" si="2"/>
        <v>5</v>
      </c>
      <c r="L19" s="74">
        <f t="shared" si="0"/>
        <v>25</v>
      </c>
      <c r="M19" s="74">
        <f t="shared" si="1"/>
        <v>100</v>
      </c>
      <c r="N19" s="88"/>
      <c r="O19" s="82"/>
      <c r="P19" s="83"/>
      <c r="Q19" s="82"/>
      <c r="R19" s="83"/>
      <c r="S19" s="83"/>
      <c r="T19" s="83"/>
      <c r="U19" s="83"/>
      <c r="V19" s="83"/>
      <c r="W19" s="110"/>
    </row>
    <row r="20" ht="15.75" spans="1:23">
      <c r="A20" s="4"/>
      <c r="B20" s="12"/>
      <c r="C20" s="169" t="s">
        <v>116</v>
      </c>
      <c r="D20" s="170" t="s">
        <v>117</v>
      </c>
      <c r="E20" s="170" t="s">
        <v>75</v>
      </c>
      <c r="F20" s="193" t="s">
        <v>118</v>
      </c>
      <c r="G20" s="170" t="s">
        <v>52</v>
      </c>
      <c r="H20" s="42"/>
      <c r="I20" s="172" t="s">
        <v>119</v>
      </c>
      <c r="J20" s="22">
        <v>1</v>
      </c>
      <c r="K20" s="74">
        <f t="shared" si="2"/>
        <v>5</v>
      </c>
      <c r="L20" s="74">
        <f t="shared" si="0"/>
        <v>25</v>
      </c>
      <c r="M20" s="74">
        <f t="shared" si="1"/>
        <v>100</v>
      </c>
      <c r="N20" s="88"/>
      <c r="O20" s="82"/>
      <c r="P20" s="83"/>
      <c r="Q20" s="82"/>
      <c r="R20" s="83"/>
      <c r="S20" s="83"/>
      <c r="T20" s="83"/>
      <c r="U20" s="83"/>
      <c r="V20" s="83"/>
      <c r="W20" s="110"/>
    </row>
    <row r="21" ht="15.75" spans="1:23">
      <c r="A21" s="4"/>
      <c r="B21" s="12"/>
      <c r="C21" s="194" t="s">
        <v>120</v>
      </c>
      <c r="D21" s="170" t="s">
        <v>121</v>
      </c>
      <c r="E21" s="170" t="s">
        <v>122</v>
      </c>
      <c r="F21" s="193" t="s">
        <v>123</v>
      </c>
      <c r="G21" s="170" t="s">
        <v>57</v>
      </c>
      <c r="H21" s="42"/>
      <c r="I21" s="172" t="s">
        <v>124</v>
      </c>
      <c r="J21" s="22">
        <v>1</v>
      </c>
      <c r="K21" s="74">
        <f t="shared" si="2"/>
        <v>5</v>
      </c>
      <c r="L21" s="74">
        <f t="shared" si="0"/>
        <v>25</v>
      </c>
      <c r="M21" s="74">
        <f t="shared" si="1"/>
        <v>100</v>
      </c>
      <c r="N21" s="88"/>
      <c r="O21" s="82"/>
      <c r="P21" s="83"/>
      <c r="Q21" s="82"/>
      <c r="R21" s="83"/>
      <c r="S21" s="83"/>
      <c r="T21" s="83"/>
      <c r="U21" s="83"/>
      <c r="V21" s="83"/>
      <c r="W21" s="110"/>
    </row>
    <row r="22" ht="15.75" spans="1:23">
      <c r="A22" s="4"/>
      <c r="B22" s="12"/>
      <c r="C22" s="187" t="s">
        <v>125</v>
      </c>
      <c r="D22" s="187" t="s">
        <v>126</v>
      </c>
      <c r="E22" s="187" t="s">
        <v>75</v>
      </c>
      <c r="F22" s="188" t="s">
        <v>127</v>
      </c>
      <c r="G22" s="187" t="s">
        <v>52</v>
      </c>
      <c r="I22" s="189" t="s">
        <v>128</v>
      </c>
      <c r="J22" s="38">
        <v>1</v>
      </c>
      <c r="K22" s="74">
        <f t="shared" si="2"/>
        <v>5</v>
      </c>
      <c r="L22" s="74">
        <f t="shared" si="0"/>
        <v>25</v>
      </c>
      <c r="M22" s="74">
        <f t="shared" si="1"/>
        <v>100</v>
      </c>
      <c r="N22" s="88"/>
      <c r="O22" s="82"/>
      <c r="P22" s="83"/>
      <c r="Q22" s="82"/>
      <c r="R22" s="83"/>
      <c r="S22" s="83"/>
      <c r="T22" s="83"/>
      <c r="U22" s="83"/>
      <c r="V22" s="83"/>
      <c r="W22" s="110"/>
    </row>
    <row r="23" ht="15.75" spans="1:23">
      <c r="A23" s="4"/>
      <c r="B23" s="12"/>
      <c r="C23" s="195" t="s">
        <v>129</v>
      </c>
      <c r="D23" s="187" t="s">
        <v>130</v>
      </c>
      <c r="E23" s="187" t="s">
        <v>131</v>
      </c>
      <c r="F23" s="188" t="s">
        <v>132</v>
      </c>
      <c r="G23" s="187" t="s">
        <v>85</v>
      </c>
      <c r="I23" s="189" t="s">
        <v>133</v>
      </c>
      <c r="J23" s="38">
        <v>3</v>
      </c>
      <c r="K23" s="74">
        <f t="shared" si="2"/>
        <v>15</v>
      </c>
      <c r="L23" s="74">
        <f t="shared" si="0"/>
        <v>75</v>
      </c>
      <c r="M23" s="74">
        <f t="shared" si="1"/>
        <v>300</v>
      </c>
      <c r="N23" s="88"/>
      <c r="O23" s="82"/>
      <c r="P23" s="83"/>
      <c r="Q23" s="82"/>
      <c r="R23" s="83"/>
      <c r="S23" s="83"/>
      <c r="T23" s="83"/>
      <c r="U23" s="83"/>
      <c r="V23" s="83"/>
      <c r="W23" s="110"/>
    </row>
    <row r="24" ht="15.75" spans="1:23">
      <c r="A24" s="4"/>
      <c r="B24" s="12"/>
      <c r="C24" s="186" t="s">
        <v>134</v>
      </c>
      <c r="D24" s="187" t="s">
        <v>135</v>
      </c>
      <c r="E24" s="187" t="s">
        <v>75</v>
      </c>
      <c r="F24" s="188" t="s">
        <v>136</v>
      </c>
      <c r="G24" s="187" t="s">
        <v>52</v>
      </c>
      <c r="I24" s="189" t="s">
        <v>137</v>
      </c>
      <c r="J24" s="38">
        <v>1</v>
      </c>
      <c r="K24" s="74">
        <f t="shared" si="2"/>
        <v>5</v>
      </c>
      <c r="L24" s="74">
        <f t="shared" si="0"/>
        <v>25</v>
      </c>
      <c r="M24" s="74">
        <f t="shared" si="1"/>
        <v>100</v>
      </c>
      <c r="N24" s="88"/>
      <c r="O24" s="82"/>
      <c r="P24" s="83"/>
      <c r="Q24" s="82"/>
      <c r="R24" s="83"/>
      <c r="S24" s="83"/>
      <c r="T24" s="83"/>
      <c r="U24" s="83"/>
      <c r="V24" s="83"/>
      <c r="W24" s="110"/>
    </row>
    <row r="25" ht="15.75" spans="1:23">
      <c r="A25" s="4">
        <v>12</v>
      </c>
      <c r="B25" s="12"/>
      <c r="C25" s="181" t="s">
        <v>138</v>
      </c>
      <c r="D25" s="170" t="s">
        <v>139</v>
      </c>
      <c r="E25" s="182" t="s">
        <v>75</v>
      </c>
      <c r="F25" s="182" t="s">
        <v>140</v>
      </c>
      <c r="G25" s="182" t="s">
        <v>52</v>
      </c>
      <c r="H25" s="184" t="s">
        <v>81</v>
      </c>
      <c r="I25" s="182" t="s">
        <v>43</v>
      </c>
      <c r="J25" s="34">
        <v>3</v>
      </c>
      <c r="K25" s="74">
        <f t="shared" si="2"/>
        <v>15</v>
      </c>
      <c r="L25" s="74">
        <f t="shared" si="0"/>
        <v>75</v>
      </c>
      <c r="M25" s="74">
        <f t="shared" si="1"/>
        <v>300</v>
      </c>
      <c r="N25" s="88"/>
      <c r="O25" s="82">
        <v>0.19</v>
      </c>
      <c r="P25" s="83">
        <f t="shared" ref="P25:P30" si="3">O25*J25</f>
        <v>0.57</v>
      </c>
      <c r="Q25" s="82">
        <v>0.135</v>
      </c>
      <c r="R25" s="83">
        <f t="shared" ref="R25:R30" si="4">Q25*K25</f>
        <v>2.025</v>
      </c>
      <c r="S25" s="83">
        <v>0.0768</v>
      </c>
      <c r="T25" s="83">
        <f t="shared" ref="T25:T30" si="5">S25*L25</f>
        <v>5.76</v>
      </c>
      <c r="U25" s="83">
        <v>0.0637</v>
      </c>
      <c r="V25" s="83">
        <f t="shared" ref="V25:V30" si="6">U25*M25</f>
        <v>19.11</v>
      </c>
      <c r="W25" s="110"/>
    </row>
    <row r="26" ht="26.25" spans="1:23">
      <c r="A26" s="4">
        <v>13</v>
      </c>
      <c r="B26" s="12"/>
      <c r="C26" s="181" t="s">
        <v>141</v>
      </c>
      <c r="D26" s="196" t="s">
        <v>142</v>
      </c>
      <c r="E26" s="182" t="s">
        <v>61</v>
      </c>
      <c r="F26" s="182" t="s">
        <v>143</v>
      </c>
      <c r="G26" s="182" t="s">
        <v>110</v>
      </c>
      <c r="H26" s="184" t="s">
        <v>81</v>
      </c>
      <c r="I26" s="182" t="s">
        <v>144</v>
      </c>
      <c r="J26" s="34">
        <v>4</v>
      </c>
      <c r="K26" s="74">
        <f t="shared" si="2"/>
        <v>20</v>
      </c>
      <c r="L26" s="74">
        <f t="shared" si="0"/>
        <v>100</v>
      </c>
      <c r="M26" s="74">
        <f t="shared" si="1"/>
        <v>400</v>
      </c>
      <c r="N26" s="88"/>
      <c r="O26" s="82">
        <v>0.27</v>
      </c>
      <c r="P26" s="83">
        <f t="shared" si="3"/>
        <v>1.08</v>
      </c>
      <c r="Q26" s="82">
        <v>0.185</v>
      </c>
      <c r="R26" s="83">
        <f t="shared" si="4"/>
        <v>3.7</v>
      </c>
      <c r="S26" s="83">
        <v>0.1047</v>
      </c>
      <c r="T26" s="83">
        <f t="shared" si="5"/>
        <v>10.47</v>
      </c>
      <c r="U26" s="83">
        <v>0.1047</v>
      </c>
      <c r="V26" s="83">
        <f t="shared" si="6"/>
        <v>41.88</v>
      </c>
      <c r="W26" s="111"/>
    </row>
    <row r="27" ht="15.75" spans="1:23">
      <c r="A27" s="4">
        <v>14</v>
      </c>
      <c r="B27" s="12"/>
      <c r="C27" s="166" t="s">
        <v>145</v>
      </c>
      <c r="D27" s="197" t="s">
        <v>146</v>
      </c>
      <c r="E27" s="168" t="s">
        <v>147</v>
      </c>
      <c r="F27" s="168" t="s">
        <v>148</v>
      </c>
      <c r="G27" s="168" t="s">
        <v>57</v>
      </c>
      <c r="H27" s="184" t="s">
        <v>81</v>
      </c>
      <c r="I27" s="168" t="s">
        <v>144</v>
      </c>
      <c r="J27" s="19">
        <v>4</v>
      </c>
      <c r="K27" s="74">
        <f t="shared" si="2"/>
        <v>20</v>
      </c>
      <c r="L27" s="74">
        <f t="shared" si="0"/>
        <v>100</v>
      </c>
      <c r="M27" s="74">
        <f t="shared" si="1"/>
        <v>400</v>
      </c>
      <c r="N27" s="88"/>
      <c r="O27" s="91">
        <v>0.21</v>
      </c>
      <c r="P27" s="83">
        <f t="shared" si="3"/>
        <v>0.84</v>
      </c>
      <c r="Q27" s="91">
        <v>0.149</v>
      </c>
      <c r="R27" s="83">
        <f t="shared" si="4"/>
        <v>2.98</v>
      </c>
      <c r="S27" s="83">
        <v>0.0699</v>
      </c>
      <c r="T27" s="83">
        <f t="shared" si="5"/>
        <v>6.99</v>
      </c>
      <c r="U27" s="83">
        <v>0.0699</v>
      </c>
      <c r="V27" s="83">
        <f t="shared" si="6"/>
        <v>27.96</v>
      </c>
      <c r="W27" s="110"/>
    </row>
    <row r="28" ht="15.75" spans="1:23">
      <c r="A28" s="4">
        <v>15</v>
      </c>
      <c r="B28" s="12"/>
      <c r="C28" s="166" t="s">
        <v>149</v>
      </c>
      <c r="D28" s="183" t="s">
        <v>150</v>
      </c>
      <c r="E28" s="182" t="s">
        <v>75</v>
      </c>
      <c r="F28" s="182" t="s">
        <v>151</v>
      </c>
      <c r="G28" s="182" t="s">
        <v>63</v>
      </c>
      <c r="H28" s="184" t="s">
        <v>81</v>
      </c>
      <c r="I28" s="182" t="s">
        <v>152</v>
      </c>
      <c r="J28" s="34">
        <v>1</v>
      </c>
      <c r="K28" s="74">
        <f t="shared" si="2"/>
        <v>5</v>
      </c>
      <c r="L28" s="74">
        <f t="shared" si="0"/>
        <v>25</v>
      </c>
      <c r="M28" s="74">
        <f t="shared" si="1"/>
        <v>100</v>
      </c>
      <c r="N28" s="88"/>
      <c r="O28" s="82">
        <v>0.11</v>
      </c>
      <c r="P28" s="83">
        <f t="shared" si="3"/>
        <v>0.11</v>
      </c>
      <c r="Q28" s="82">
        <v>0.11</v>
      </c>
      <c r="R28" s="83">
        <f t="shared" si="4"/>
        <v>0.55</v>
      </c>
      <c r="S28" s="83">
        <v>0.076</v>
      </c>
      <c r="T28" s="83">
        <f t="shared" si="5"/>
        <v>1.9</v>
      </c>
      <c r="U28" s="83">
        <v>0.0359</v>
      </c>
      <c r="V28" s="83">
        <f t="shared" si="6"/>
        <v>3.59</v>
      </c>
      <c r="W28" s="110"/>
    </row>
    <row r="29" ht="15.75" spans="1:23">
      <c r="A29" s="4">
        <v>16</v>
      </c>
      <c r="B29" s="12"/>
      <c r="C29" s="181" t="s">
        <v>73</v>
      </c>
      <c r="D29" s="183" t="s">
        <v>74</v>
      </c>
      <c r="E29" s="182" t="s">
        <v>75</v>
      </c>
      <c r="F29" s="182" t="s">
        <v>76</v>
      </c>
      <c r="G29" s="182" t="s">
        <v>57</v>
      </c>
      <c r="H29" s="184" t="s">
        <v>81</v>
      </c>
      <c r="I29" s="182" t="s">
        <v>153</v>
      </c>
      <c r="J29" s="34">
        <v>1</v>
      </c>
      <c r="K29" s="74">
        <f t="shared" si="2"/>
        <v>5</v>
      </c>
      <c r="L29" s="74">
        <f t="shared" si="0"/>
        <v>25</v>
      </c>
      <c r="M29" s="74">
        <f t="shared" si="1"/>
        <v>100</v>
      </c>
      <c r="N29" s="88"/>
      <c r="O29" s="82">
        <v>0.21</v>
      </c>
      <c r="P29" s="83">
        <f t="shared" si="3"/>
        <v>0.21</v>
      </c>
      <c r="Q29" s="82">
        <v>0.21</v>
      </c>
      <c r="R29" s="83">
        <f t="shared" si="4"/>
        <v>1.05</v>
      </c>
      <c r="S29" s="83">
        <v>0.148</v>
      </c>
      <c r="T29" s="83">
        <f t="shared" si="5"/>
        <v>3.7</v>
      </c>
      <c r="U29" s="83">
        <v>0.0695</v>
      </c>
      <c r="V29" s="83">
        <f t="shared" si="6"/>
        <v>6.95</v>
      </c>
      <c r="W29" s="112" t="s">
        <v>154</v>
      </c>
    </row>
    <row r="30" ht="15.75" spans="1:23">
      <c r="A30" s="4">
        <v>17</v>
      </c>
      <c r="B30" s="47"/>
      <c r="C30" s="198" t="s">
        <v>155</v>
      </c>
      <c r="D30" s="199" t="s">
        <v>156</v>
      </c>
      <c r="E30" s="200" t="s">
        <v>157</v>
      </c>
      <c r="F30" s="200" t="s">
        <v>158</v>
      </c>
      <c r="G30" s="200" t="s">
        <v>57</v>
      </c>
      <c r="H30" s="51" t="s">
        <v>159</v>
      </c>
      <c r="I30" s="200" t="s">
        <v>160</v>
      </c>
      <c r="J30" s="50">
        <v>4</v>
      </c>
      <c r="K30" s="74">
        <f t="shared" si="2"/>
        <v>20</v>
      </c>
      <c r="L30" s="74">
        <f t="shared" si="0"/>
        <v>100</v>
      </c>
      <c r="M30" s="74">
        <f t="shared" si="1"/>
        <v>400</v>
      </c>
      <c r="N30" s="92"/>
      <c r="O30" s="93">
        <v>0.1</v>
      </c>
      <c r="P30" s="94">
        <f t="shared" si="3"/>
        <v>0.4</v>
      </c>
      <c r="Q30" s="93">
        <v>0.063</v>
      </c>
      <c r="R30" s="94">
        <f t="shared" si="4"/>
        <v>1.26</v>
      </c>
      <c r="S30" s="94">
        <v>0.0282</v>
      </c>
      <c r="T30" s="94">
        <f t="shared" si="5"/>
        <v>2.82</v>
      </c>
      <c r="U30" s="94">
        <v>0.0282</v>
      </c>
      <c r="V30" s="94">
        <f t="shared" si="6"/>
        <v>11.28</v>
      </c>
      <c r="W30" s="113"/>
    </row>
    <row r="31" ht="30.75" spans="1:23">
      <c r="A31" s="4"/>
      <c r="B31" s="12" t="s">
        <v>161</v>
      </c>
      <c r="C31" s="190" t="s">
        <v>162</v>
      </c>
      <c r="D31" s="191" t="s">
        <v>163</v>
      </c>
      <c r="E31" s="42"/>
      <c r="F31" s="191" t="s">
        <v>164</v>
      </c>
      <c r="G31" s="191" t="s">
        <v>165</v>
      </c>
      <c r="H31" s="23"/>
      <c r="I31" s="42"/>
      <c r="J31" s="41">
        <v>1</v>
      </c>
      <c r="K31" s="74">
        <f t="shared" si="2"/>
        <v>5</v>
      </c>
      <c r="L31" s="74">
        <f t="shared" si="0"/>
        <v>25</v>
      </c>
      <c r="M31" s="74">
        <f t="shared" si="1"/>
        <v>100</v>
      </c>
      <c r="N31" s="92"/>
      <c r="O31" s="95"/>
      <c r="P31" s="96"/>
      <c r="Q31" s="95"/>
      <c r="R31" s="96"/>
      <c r="S31" s="96"/>
      <c r="T31" s="96"/>
      <c r="U31" s="96"/>
      <c r="V31" s="96"/>
      <c r="W31" s="114"/>
    </row>
    <row r="32" ht="15.75" spans="1:23">
      <c r="A32" s="4"/>
      <c r="B32" s="12"/>
      <c r="C32" s="190" t="s">
        <v>166</v>
      </c>
      <c r="D32" s="191" t="s">
        <v>167</v>
      </c>
      <c r="E32" s="191" t="s">
        <v>168</v>
      </c>
      <c r="F32" s="171" t="s">
        <v>169</v>
      </c>
      <c r="G32" s="191" t="s">
        <v>170</v>
      </c>
      <c r="H32" s="42"/>
      <c r="I32" s="42"/>
      <c r="J32" s="41">
        <v>1</v>
      </c>
      <c r="K32" s="74">
        <f t="shared" si="2"/>
        <v>5</v>
      </c>
      <c r="L32" s="74">
        <f t="shared" si="0"/>
        <v>25</v>
      </c>
      <c r="M32" s="74">
        <f t="shared" si="1"/>
        <v>100</v>
      </c>
      <c r="N32" s="92"/>
      <c r="O32" s="95"/>
      <c r="P32" s="96"/>
      <c r="Q32" s="95"/>
      <c r="R32" s="96"/>
      <c r="S32" s="96"/>
      <c r="T32" s="96"/>
      <c r="U32" s="96"/>
      <c r="V32" s="96"/>
      <c r="W32" s="114"/>
    </row>
    <row r="33" ht="15.75" spans="1:23">
      <c r="A33" s="4"/>
      <c r="B33" s="12" t="s">
        <v>171</v>
      </c>
      <c r="C33" s="190" t="s">
        <v>172</v>
      </c>
      <c r="D33" s="191" t="s">
        <v>173</v>
      </c>
      <c r="E33" s="41"/>
      <c r="F33" s="171" t="s">
        <v>174</v>
      </c>
      <c r="G33" s="191" t="s">
        <v>175</v>
      </c>
      <c r="I33" s="42"/>
      <c r="J33" s="41">
        <v>1</v>
      </c>
      <c r="K33" s="74">
        <f t="shared" si="2"/>
        <v>5</v>
      </c>
      <c r="L33" s="74">
        <f t="shared" si="0"/>
        <v>25</v>
      </c>
      <c r="M33" s="74">
        <f t="shared" si="1"/>
        <v>100</v>
      </c>
      <c r="N33" s="92"/>
      <c r="O33" s="95"/>
      <c r="P33" s="96"/>
      <c r="Q33" s="95"/>
      <c r="R33" s="96"/>
      <c r="S33" s="96"/>
      <c r="T33" s="96"/>
      <c r="U33" s="96"/>
      <c r="V33" s="96"/>
      <c r="W33" s="114"/>
    </row>
    <row r="34" ht="30.75" spans="1:23">
      <c r="A34" s="4"/>
      <c r="B34" s="12"/>
      <c r="C34" s="190" t="s">
        <v>176</v>
      </c>
      <c r="D34" s="191" t="s">
        <v>177</v>
      </c>
      <c r="E34" s="191" t="s">
        <v>178</v>
      </c>
      <c r="F34" s="171" t="s">
        <v>179</v>
      </c>
      <c r="G34" s="191" t="s">
        <v>180</v>
      </c>
      <c r="H34" s="42"/>
      <c r="I34" s="42"/>
      <c r="J34" s="41">
        <v>1</v>
      </c>
      <c r="K34" s="74">
        <f t="shared" si="2"/>
        <v>5</v>
      </c>
      <c r="L34" s="74">
        <f t="shared" si="0"/>
        <v>25</v>
      </c>
      <c r="M34" s="74">
        <f t="shared" si="1"/>
        <v>100</v>
      </c>
      <c r="N34" s="88"/>
      <c r="O34" s="97"/>
      <c r="P34" s="80"/>
      <c r="Q34" s="97"/>
      <c r="R34" s="80"/>
      <c r="S34" s="80"/>
      <c r="T34" s="80"/>
      <c r="U34" s="80"/>
      <c r="V34" s="80"/>
      <c r="W34" s="115"/>
    </row>
    <row r="35" ht="30.75" spans="1:23">
      <c r="A35" s="4"/>
      <c r="B35" s="12"/>
      <c r="C35" s="190" t="s">
        <v>181</v>
      </c>
      <c r="D35" s="191" t="s">
        <v>182</v>
      </c>
      <c r="E35" s="191" t="s">
        <v>178</v>
      </c>
      <c r="F35" s="171" t="s">
        <v>183</v>
      </c>
      <c r="G35" s="191" t="s">
        <v>180</v>
      </c>
      <c r="H35" s="42"/>
      <c r="I35" s="42"/>
      <c r="J35" s="41">
        <v>1</v>
      </c>
      <c r="K35" s="74">
        <f t="shared" si="2"/>
        <v>5</v>
      </c>
      <c r="L35" s="74">
        <f t="shared" si="0"/>
        <v>25</v>
      </c>
      <c r="M35" s="74">
        <f t="shared" si="1"/>
        <v>100</v>
      </c>
      <c r="N35" s="88"/>
      <c r="O35" s="97"/>
      <c r="P35" s="80"/>
      <c r="Q35" s="97"/>
      <c r="R35" s="80"/>
      <c r="S35" s="80"/>
      <c r="T35" s="80"/>
      <c r="U35" s="80"/>
      <c r="V35" s="80"/>
      <c r="W35" s="115"/>
    </row>
    <row r="36" ht="26.25" spans="1:23">
      <c r="A36" s="4">
        <v>19</v>
      </c>
      <c r="B36" s="12"/>
      <c r="C36" s="181" t="s">
        <v>184</v>
      </c>
      <c r="D36" s="183" t="s">
        <v>185</v>
      </c>
      <c r="E36" s="182" t="s">
        <v>186</v>
      </c>
      <c r="F36" s="182" t="s">
        <v>187</v>
      </c>
      <c r="G36" s="182" t="s">
        <v>188</v>
      </c>
      <c r="H36" s="52" t="s">
        <v>189</v>
      </c>
      <c r="I36" s="182" t="s">
        <v>190</v>
      </c>
      <c r="J36" s="34">
        <v>8</v>
      </c>
      <c r="K36" s="74">
        <f t="shared" si="2"/>
        <v>40</v>
      </c>
      <c r="L36" s="74">
        <f t="shared" ref="L36:L67" si="7">J36*25</f>
        <v>200</v>
      </c>
      <c r="M36" s="74">
        <f t="shared" ref="M36:M67" si="8">J36*100</f>
        <v>800</v>
      </c>
      <c r="N36" s="88"/>
      <c r="O36" s="91">
        <v>0.42</v>
      </c>
      <c r="P36" s="83">
        <f>O36*J36</f>
        <v>3.36</v>
      </c>
      <c r="Q36" s="91">
        <v>0.313</v>
      </c>
      <c r="R36" s="83">
        <f>Q36*K36</f>
        <v>12.52</v>
      </c>
      <c r="S36" s="83">
        <v>0.1948</v>
      </c>
      <c r="T36" s="83">
        <f>S36*L36</f>
        <v>38.96</v>
      </c>
      <c r="U36" s="83">
        <v>0.13328</v>
      </c>
      <c r="V36" s="83">
        <f>U36*M36</f>
        <v>106.624</v>
      </c>
      <c r="W36" s="111" t="s">
        <v>191</v>
      </c>
    </row>
    <row r="37" ht="15.75" spans="1:23">
      <c r="A37" s="4">
        <v>20</v>
      </c>
      <c r="B37" s="12"/>
      <c r="C37" s="181" t="s">
        <v>192</v>
      </c>
      <c r="D37" s="183" t="s">
        <v>163</v>
      </c>
      <c r="E37" s="182" t="s">
        <v>27</v>
      </c>
      <c r="F37" s="182" t="s">
        <v>193</v>
      </c>
      <c r="G37" s="182" t="s">
        <v>194</v>
      </c>
      <c r="H37" s="52" t="s">
        <v>195</v>
      </c>
      <c r="I37" s="182" t="s">
        <v>190</v>
      </c>
      <c r="J37" s="34">
        <v>1</v>
      </c>
      <c r="K37" s="74">
        <f t="shared" si="2"/>
        <v>5</v>
      </c>
      <c r="L37" s="74">
        <f t="shared" si="7"/>
        <v>25</v>
      </c>
      <c r="M37" s="74">
        <f t="shared" si="8"/>
        <v>100</v>
      </c>
      <c r="N37" s="88"/>
      <c r="O37" s="82">
        <v>0.5</v>
      </c>
      <c r="P37" s="83">
        <f>O37*J37</f>
        <v>0.5</v>
      </c>
      <c r="Q37" s="82">
        <v>0.5</v>
      </c>
      <c r="R37" s="83">
        <f>Q37*K37</f>
        <v>2.5</v>
      </c>
      <c r="S37" s="83">
        <v>0.5</v>
      </c>
      <c r="T37" s="83">
        <f>S37*L37</f>
        <v>12.5</v>
      </c>
      <c r="U37" s="83">
        <v>0.5</v>
      </c>
      <c r="V37" s="83">
        <f>U37*M37</f>
        <v>50</v>
      </c>
      <c r="W37" s="110"/>
    </row>
    <row r="38" ht="15.75" spans="1:23">
      <c r="A38" s="4">
        <v>22</v>
      </c>
      <c r="B38" s="7" t="s">
        <v>196</v>
      </c>
      <c r="C38" s="201" t="s">
        <v>197</v>
      </c>
      <c r="D38" s="202" t="s">
        <v>198</v>
      </c>
      <c r="E38" s="203" t="s">
        <v>27</v>
      </c>
      <c r="F38" s="203" t="s">
        <v>199</v>
      </c>
      <c r="G38" s="204" t="s">
        <v>200</v>
      </c>
      <c r="H38" s="203" t="s">
        <v>81</v>
      </c>
      <c r="I38" s="203" t="s">
        <v>190</v>
      </c>
      <c r="J38" s="55">
        <v>1</v>
      </c>
      <c r="K38" s="74">
        <f t="shared" si="2"/>
        <v>5</v>
      </c>
      <c r="L38" s="74">
        <f t="shared" si="7"/>
        <v>25</v>
      </c>
      <c r="M38" s="74">
        <f t="shared" si="8"/>
        <v>100</v>
      </c>
      <c r="N38" s="92"/>
      <c r="O38" s="98">
        <v>0.29</v>
      </c>
      <c r="P38" s="96">
        <f>O38*J38</f>
        <v>0.29</v>
      </c>
      <c r="Q38" s="98">
        <v>0.29</v>
      </c>
      <c r="R38" s="96">
        <f>Q38*K38</f>
        <v>1.45</v>
      </c>
      <c r="S38" s="96">
        <v>0.266</v>
      </c>
      <c r="T38" s="96">
        <f>S38*L38</f>
        <v>6.65</v>
      </c>
      <c r="U38" s="96">
        <v>0.2214</v>
      </c>
      <c r="V38" s="96">
        <f>U38*M38</f>
        <v>22.14</v>
      </c>
      <c r="W38" s="116" t="s">
        <v>154</v>
      </c>
    </row>
    <row r="39" ht="30.75" spans="1:23">
      <c r="A39" s="4"/>
      <c r="B39" s="12"/>
      <c r="C39" s="190" t="s">
        <v>201</v>
      </c>
      <c r="D39" s="191" t="s">
        <v>202</v>
      </c>
      <c r="E39" s="42"/>
      <c r="F39" s="191" t="s">
        <v>203</v>
      </c>
      <c r="G39" s="191" t="s">
        <v>63</v>
      </c>
      <c r="H39" s="23"/>
      <c r="I39" s="192" t="s">
        <v>204</v>
      </c>
      <c r="J39" s="41">
        <v>1</v>
      </c>
      <c r="K39" s="74">
        <f t="shared" si="2"/>
        <v>5</v>
      </c>
      <c r="L39" s="74">
        <f t="shared" si="7"/>
        <v>25</v>
      </c>
      <c r="M39" s="74">
        <f t="shared" si="8"/>
        <v>100</v>
      </c>
      <c r="N39" s="99"/>
      <c r="O39" s="100"/>
      <c r="P39" s="101"/>
      <c r="Q39" s="100"/>
      <c r="R39" s="101"/>
      <c r="S39" s="101"/>
      <c r="T39" s="101"/>
      <c r="U39" s="101"/>
      <c r="V39" s="101"/>
      <c r="W39" s="117"/>
    </row>
    <row r="40" ht="15.75" spans="1:23">
      <c r="A40" s="4"/>
      <c r="B40" s="12"/>
      <c r="C40" s="190" t="s">
        <v>205</v>
      </c>
      <c r="D40" s="191" t="s">
        <v>206</v>
      </c>
      <c r="E40" s="42"/>
      <c r="F40" s="191" t="s">
        <v>207</v>
      </c>
      <c r="G40" s="191" t="s">
        <v>208</v>
      </c>
      <c r="H40" s="23"/>
      <c r="I40" s="192" t="s">
        <v>209</v>
      </c>
      <c r="J40" s="41">
        <v>1</v>
      </c>
      <c r="K40" s="74">
        <f t="shared" ref="K40:K86" si="9">J40*5</f>
        <v>5</v>
      </c>
      <c r="L40" s="74">
        <f t="shared" si="7"/>
        <v>25</v>
      </c>
      <c r="M40" s="74">
        <f t="shared" si="8"/>
        <v>100</v>
      </c>
      <c r="N40" s="99"/>
      <c r="O40" s="100"/>
      <c r="P40" s="101"/>
      <c r="Q40" s="100"/>
      <c r="R40" s="101"/>
      <c r="S40" s="101"/>
      <c r="T40" s="101"/>
      <c r="U40" s="101"/>
      <c r="V40" s="101"/>
      <c r="W40" s="118"/>
    </row>
    <row r="41" ht="30.75" spans="1:23">
      <c r="A41" s="4"/>
      <c r="B41" s="47"/>
      <c r="C41" s="190" t="s">
        <v>210</v>
      </c>
      <c r="D41" s="191" t="s">
        <v>211</v>
      </c>
      <c r="E41" s="42"/>
      <c r="F41" s="191" t="s">
        <v>212</v>
      </c>
      <c r="G41" s="191" t="s">
        <v>63</v>
      </c>
      <c r="H41" s="42"/>
      <c r="I41" s="23"/>
      <c r="J41" s="41">
        <v>4</v>
      </c>
      <c r="K41" s="74">
        <f t="shared" si="9"/>
        <v>20</v>
      </c>
      <c r="L41" s="74">
        <f t="shared" si="7"/>
        <v>100</v>
      </c>
      <c r="M41" s="74">
        <f t="shared" si="8"/>
        <v>400</v>
      </c>
      <c r="N41" s="99"/>
      <c r="O41" s="100"/>
      <c r="P41" s="101"/>
      <c r="Q41" s="100"/>
      <c r="R41" s="101"/>
      <c r="S41" s="101"/>
      <c r="T41" s="101"/>
      <c r="U41" s="101"/>
      <c r="V41" s="101"/>
      <c r="W41" s="118"/>
    </row>
    <row r="42" ht="26.25" spans="1:23">
      <c r="A42" s="4">
        <v>24</v>
      </c>
      <c r="B42" s="57" t="s">
        <v>213</v>
      </c>
      <c r="C42" s="205" t="s">
        <v>214</v>
      </c>
      <c r="D42" s="206" t="s">
        <v>215</v>
      </c>
      <c r="E42" s="207" t="s">
        <v>216</v>
      </c>
      <c r="F42" s="207" t="s">
        <v>217</v>
      </c>
      <c r="G42" s="208" t="s">
        <v>218</v>
      </c>
      <c r="H42" s="207" t="s">
        <v>81</v>
      </c>
      <c r="I42" s="207" t="s">
        <v>190</v>
      </c>
      <c r="J42" s="60">
        <v>8</v>
      </c>
      <c r="K42" s="74">
        <f t="shared" si="9"/>
        <v>40</v>
      </c>
      <c r="L42" s="74">
        <f t="shared" si="7"/>
        <v>200</v>
      </c>
      <c r="M42" s="74">
        <f t="shared" si="8"/>
        <v>800</v>
      </c>
      <c r="N42" s="99"/>
      <c r="O42" s="100">
        <v>1.89</v>
      </c>
      <c r="P42" s="101">
        <f>O42*J42</f>
        <v>15.12</v>
      </c>
      <c r="Q42" s="100">
        <v>1.604</v>
      </c>
      <c r="R42" s="101">
        <f>Q42*K42</f>
        <v>64.16</v>
      </c>
      <c r="S42" s="101">
        <v>1.3667</v>
      </c>
      <c r="T42" s="101">
        <f>S42*L42</f>
        <v>273.34</v>
      </c>
      <c r="U42" s="101">
        <v>1.12288</v>
      </c>
      <c r="V42" s="101">
        <f>U42*M42</f>
        <v>898.304</v>
      </c>
      <c r="W42" s="118" t="s">
        <v>154</v>
      </c>
    </row>
    <row r="43" ht="15.75" spans="1:23">
      <c r="A43" s="4">
        <v>25</v>
      </c>
      <c r="B43" s="62" t="s">
        <v>219</v>
      </c>
      <c r="C43" s="209" t="s">
        <v>220</v>
      </c>
      <c r="D43" s="210" t="s">
        <v>221</v>
      </c>
      <c r="E43" s="160" t="s">
        <v>157</v>
      </c>
      <c r="F43" s="160" t="s">
        <v>222</v>
      </c>
      <c r="G43" s="160" t="s">
        <v>52</v>
      </c>
      <c r="H43" s="160" t="s">
        <v>81</v>
      </c>
      <c r="I43" s="160" t="s">
        <v>223</v>
      </c>
      <c r="J43" s="10">
        <v>2</v>
      </c>
      <c r="K43" s="74">
        <f t="shared" si="9"/>
        <v>10</v>
      </c>
      <c r="L43" s="74">
        <f t="shared" si="7"/>
        <v>50</v>
      </c>
      <c r="M43" s="74">
        <f t="shared" si="8"/>
        <v>200</v>
      </c>
      <c r="N43" s="74"/>
      <c r="O43" s="102">
        <v>0.1</v>
      </c>
      <c r="P43" s="76">
        <f>O43*J43</f>
        <v>0.2</v>
      </c>
      <c r="Q43" s="102">
        <v>0.02</v>
      </c>
      <c r="R43" s="76">
        <f>Q43*K43</f>
        <v>0.2</v>
      </c>
      <c r="S43" s="76">
        <v>0.02</v>
      </c>
      <c r="T43" s="76">
        <f>S43*L43</f>
        <v>1</v>
      </c>
      <c r="U43" s="76">
        <v>0.008</v>
      </c>
      <c r="V43" s="76">
        <f>U43*M43</f>
        <v>1.6</v>
      </c>
      <c r="W43" s="119" t="s">
        <v>154</v>
      </c>
    </row>
    <row r="44" ht="30.75" spans="1:23">
      <c r="A44" s="4"/>
      <c r="B44" s="64"/>
      <c r="C44" s="211" t="s">
        <v>224</v>
      </c>
      <c r="D44" s="191" t="s">
        <v>225</v>
      </c>
      <c r="E44" s="191" t="s">
        <v>157</v>
      </c>
      <c r="F44" s="171" t="s">
        <v>226</v>
      </c>
      <c r="G44" s="191" t="s">
        <v>52</v>
      </c>
      <c r="H44" s="42"/>
      <c r="I44" s="192" t="s">
        <v>227</v>
      </c>
      <c r="J44" s="41">
        <v>1</v>
      </c>
      <c r="K44" s="74">
        <f t="shared" si="9"/>
        <v>5</v>
      </c>
      <c r="L44" s="74">
        <f t="shared" si="7"/>
        <v>25</v>
      </c>
      <c r="M44" s="74">
        <f t="shared" si="8"/>
        <v>100</v>
      </c>
      <c r="N44" s="88"/>
      <c r="O44" s="97"/>
      <c r="P44" s="80"/>
      <c r="Q44" s="97"/>
      <c r="R44" s="80"/>
      <c r="S44" s="80"/>
      <c r="T44" s="80"/>
      <c r="U44" s="80"/>
      <c r="V44" s="80"/>
      <c r="W44" s="116"/>
    </row>
    <row r="45" ht="15.75" spans="1:23">
      <c r="A45" s="4">
        <v>26</v>
      </c>
      <c r="B45" s="64"/>
      <c r="C45" s="181" t="s">
        <v>228</v>
      </c>
      <c r="D45" s="183" t="s">
        <v>229</v>
      </c>
      <c r="E45" s="182" t="s">
        <v>157</v>
      </c>
      <c r="F45" s="182" t="s">
        <v>230</v>
      </c>
      <c r="G45" s="182" t="s">
        <v>52</v>
      </c>
      <c r="H45" s="212" t="s">
        <v>81</v>
      </c>
      <c r="I45" s="182" t="s">
        <v>231</v>
      </c>
      <c r="J45" s="34">
        <v>2</v>
      </c>
      <c r="K45" s="74">
        <f t="shared" si="9"/>
        <v>10</v>
      </c>
      <c r="L45" s="74">
        <f t="shared" si="7"/>
        <v>50</v>
      </c>
      <c r="M45" s="74">
        <f t="shared" si="8"/>
        <v>200</v>
      </c>
      <c r="N45" s="88"/>
      <c r="O45" s="91">
        <v>0.1</v>
      </c>
      <c r="P45" s="83">
        <f>O45*J45</f>
        <v>0.2</v>
      </c>
      <c r="Q45" s="91">
        <v>0.018</v>
      </c>
      <c r="R45" s="83">
        <f>Q45*K45</f>
        <v>0.18</v>
      </c>
      <c r="S45" s="83">
        <v>0.0098</v>
      </c>
      <c r="T45" s="83">
        <f>S45*L45</f>
        <v>0.49</v>
      </c>
      <c r="U45" s="83">
        <v>0.0073</v>
      </c>
      <c r="V45" s="83">
        <f>U45*M45</f>
        <v>1.46</v>
      </c>
      <c r="W45" s="110"/>
    </row>
    <row r="46" ht="15.75" spans="1:23">
      <c r="A46" s="4"/>
      <c r="B46" s="64"/>
      <c r="C46" s="211" t="s">
        <v>232</v>
      </c>
      <c r="D46" s="191" t="s">
        <v>233</v>
      </c>
      <c r="E46" s="191" t="s">
        <v>157</v>
      </c>
      <c r="F46" s="171" t="s">
        <v>234</v>
      </c>
      <c r="G46" s="191" t="s">
        <v>52</v>
      </c>
      <c r="H46" s="42"/>
      <c r="I46" s="192" t="s">
        <v>235</v>
      </c>
      <c r="J46" s="41">
        <v>3</v>
      </c>
      <c r="K46" s="74">
        <f t="shared" si="9"/>
        <v>15</v>
      </c>
      <c r="L46" s="74">
        <f t="shared" si="7"/>
        <v>75</v>
      </c>
      <c r="M46" s="74">
        <f t="shared" si="8"/>
        <v>300</v>
      </c>
      <c r="N46" s="88"/>
      <c r="O46" s="91"/>
      <c r="P46" s="83"/>
      <c r="Q46" s="91"/>
      <c r="R46" s="83"/>
      <c r="S46" s="83"/>
      <c r="T46" s="83"/>
      <c r="U46" s="83"/>
      <c r="V46" s="83"/>
      <c r="W46" s="112"/>
    </row>
    <row r="47" ht="15.75" spans="1:23">
      <c r="A47" s="4">
        <v>29</v>
      </c>
      <c r="B47" s="64"/>
      <c r="C47" s="181" t="s">
        <v>236</v>
      </c>
      <c r="D47" s="183" t="s">
        <v>237</v>
      </c>
      <c r="E47" s="182" t="s">
        <v>157</v>
      </c>
      <c r="F47" s="182" t="s">
        <v>238</v>
      </c>
      <c r="G47" s="182" t="s">
        <v>52</v>
      </c>
      <c r="H47" s="212" t="s">
        <v>81</v>
      </c>
      <c r="I47" s="182" t="s">
        <v>239</v>
      </c>
      <c r="J47" s="34">
        <v>4</v>
      </c>
      <c r="K47" s="74">
        <f t="shared" si="9"/>
        <v>20</v>
      </c>
      <c r="L47" s="74">
        <f t="shared" si="7"/>
        <v>100</v>
      </c>
      <c r="M47" s="74">
        <f t="shared" si="8"/>
        <v>400</v>
      </c>
      <c r="N47" s="88"/>
      <c r="O47" s="82">
        <v>0.1</v>
      </c>
      <c r="P47" s="83">
        <f t="shared" ref="P47:P56" si="10">O47*J47</f>
        <v>0.4</v>
      </c>
      <c r="Q47" s="82">
        <v>0.024</v>
      </c>
      <c r="R47" s="83">
        <f t="shared" ref="R47:R56" si="11">Q47*K47</f>
        <v>0.48</v>
      </c>
      <c r="S47" s="83">
        <v>0.0097</v>
      </c>
      <c r="T47" s="83">
        <f t="shared" ref="T47:T56" si="12">S47*L47</f>
        <v>0.97</v>
      </c>
      <c r="U47" s="83">
        <v>0.0097</v>
      </c>
      <c r="V47" s="83">
        <f t="shared" ref="V47:V56" si="13">U47*M47</f>
        <v>3.88</v>
      </c>
      <c r="W47" s="110"/>
    </row>
    <row r="48" ht="15.75" spans="1:23">
      <c r="A48" s="4">
        <v>30</v>
      </c>
      <c r="B48" s="64"/>
      <c r="C48" s="166" t="s">
        <v>240</v>
      </c>
      <c r="D48" s="183" t="s">
        <v>241</v>
      </c>
      <c r="E48" s="182" t="s">
        <v>242</v>
      </c>
      <c r="F48" s="182" t="s">
        <v>243</v>
      </c>
      <c r="G48" s="67" t="s">
        <v>244</v>
      </c>
      <c r="H48" s="67" t="s">
        <v>245</v>
      </c>
      <c r="I48" s="182" t="s">
        <v>246</v>
      </c>
      <c r="J48" s="34">
        <v>4</v>
      </c>
      <c r="K48" s="74">
        <f t="shared" si="9"/>
        <v>20</v>
      </c>
      <c r="L48" s="74">
        <f t="shared" si="7"/>
        <v>100</v>
      </c>
      <c r="M48" s="74">
        <f t="shared" si="8"/>
        <v>400</v>
      </c>
      <c r="N48" s="88"/>
      <c r="O48" s="82">
        <v>1.2</v>
      </c>
      <c r="P48" s="83">
        <f t="shared" si="10"/>
        <v>4.8</v>
      </c>
      <c r="Q48" s="82">
        <v>1.059</v>
      </c>
      <c r="R48" s="83">
        <f t="shared" si="11"/>
        <v>21.18</v>
      </c>
      <c r="S48" s="83">
        <v>0.7685</v>
      </c>
      <c r="T48" s="83">
        <f t="shared" si="12"/>
        <v>76.85</v>
      </c>
      <c r="U48" s="83">
        <v>0.64896</v>
      </c>
      <c r="V48" s="83">
        <f t="shared" si="13"/>
        <v>259.584</v>
      </c>
      <c r="W48" s="110"/>
    </row>
    <row r="49" ht="26.25" spans="1:23">
      <c r="A49" s="4">
        <v>31</v>
      </c>
      <c r="B49" s="64"/>
      <c r="C49" s="181" t="s">
        <v>247</v>
      </c>
      <c r="D49" s="183" t="s">
        <v>248</v>
      </c>
      <c r="E49" s="182" t="s">
        <v>157</v>
      </c>
      <c r="F49" s="182" t="s">
        <v>249</v>
      </c>
      <c r="G49" s="67" t="s">
        <v>52</v>
      </c>
      <c r="H49" s="213" t="s">
        <v>81</v>
      </c>
      <c r="I49" s="182" t="s">
        <v>250</v>
      </c>
      <c r="J49" s="34">
        <v>8</v>
      </c>
      <c r="K49" s="74">
        <f t="shared" si="9"/>
        <v>40</v>
      </c>
      <c r="L49" s="74">
        <f t="shared" si="7"/>
        <v>200</v>
      </c>
      <c r="M49" s="74">
        <f t="shared" si="8"/>
        <v>800</v>
      </c>
      <c r="N49" s="88"/>
      <c r="O49" s="82">
        <v>0.1</v>
      </c>
      <c r="P49" s="83">
        <f t="shared" si="10"/>
        <v>0.8</v>
      </c>
      <c r="Q49" s="82">
        <v>0.024</v>
      </c>
      <c r="R49" s="83">
        <f t="shared" si="11"/>
        <v>0.96</v>
      </c>
      <c r="S49" s="83">
        <v>0.0097</v>
      </c>
      <c r="T49" s="83">
        <f t="shared" si="12"/>
        <v>1.94</v>
      </c>
      <c r="U49" s="83">
        <v>0.0097</v>
      </c>
      <c r="V49" s="83">
        <f t="shared" si="13"/>
        <v>7.76</v>
      </c>
      <c r="W49" s="110"/>
    </row>
    <row r="50" ht="15.75" spans="1:23">
      <c r="A50" s="4">
        <v>32</v>
      </c>
      <c r="B50" s="64"/>
      <c r="C50" s="181" t="s">
        <v>251</v>
      </c>
      <c r="D50" s="183" t="s">
        <v>252</v>
      </c>
      <c r="E50" s="182" t="s">
        <v>157</v>
      </c>
      <c r="F50" s="182" t="s">
        <v>253</v>
      </c>
      <c r="G50" s="67" t="s">
        <v>52</v>
      </c>
      <c r="H50" s="67" t="s">
        <v>254</v>
      </c>
      <c r="I50" s="182" t="s">
        <v>255</v>
      </c>
      <c r="J50" s="34">
        <v>1</v>
      </c>
      <c r="K50" s="74">
        <f t="shared" si="9"/>
        <v>5</v>
      </c>
      <c r="L50" s="74">
        <f t="shared" si="7"/>
        <v>25</v>
      </c>
      <c r="M50" s="74">
        <f t="shared" si="8"/>
        <v>100</v>
      </c>
      <c r="N50" s="88"/>
      <c r="O50" s="82">
        <v>0.1</v>
      </c>
      <c r="P50" s="83">
        <f t="shared" si="10"/>
        <v>0.1</v>
      </c>
      <c r="Q50" s="82">
        <v>0.1</v>
      </c>
      <c r="R50" s="83">
        <f t="shared" si="11"/>
        <v>0.5</v>
      </c>
      <c r="S50" s="83">
        <v>0.029</v>
      </c>
      <c r="T50" s="83">
        <f t="shared" si="12"/>
        <v>0.725</v>
      </c>
      <c r="U50" s="83">
        <v>0.0117</v>
      </c>
      <c r="V50" s="83">
        <f t="shared" si="13"/>
        <v>1.17</v>
      </c>
      <c r="W50" s="110"/>
    </row>
    <row r="51" ht="15.75" spans="1:23">
      <c r="A51" s="4">
        <v>33</v>
      </c>
      <c r="B51" s="64"/>
      <c r="C51" s="181" t="s">
        <v>256</v>
      </c>
      <c r="D51" s="183" t="s">
        <v>257</v>
      </c>
      <c r="E51" s="182" t="s">
        <v>157</v>
      </c>
      <c r="F51" s="182" t="s">
        <v>258</v>
      </c>
      <c r="G51" s="67" t="s">
        <v>52</v>
      </c>
      <c r="H51" s="213" t="s">
        <v>81</v>
      </c>
      <c r="I51" s="182" t="s">
        <v>259</v>
      </c>
      <c r="J51" s="34">
        <v>1</v>
      </c>
      <c r="K51" s="74">
        <f t="shared" si="9"/>
        <v>5</v>
      </c>
      <c r="L51" s="74">
        <f t="shared" si="7"/>
        <v>25</v>
      </c>
      <c r="M51" s="74">
        <f t="shared" si="8"/>
        <v>100</v>
      </c>
      <c r="N51" s="88"/>
      <c r="O51" s="82">
        <v>0.1</v>
      </c>
      <c r="P51" s="83">
        <f t="shared" si="10"/>
        <v>0.1</v>
      </c>
      <c r="Q51" s="82">
        <v>0.1</v>
      </c>
      <c r="R51" s="83">
        <f t="shared" si="11"/>
        <v>0.5</v>
      </c>
      <c r="S51" s="83">
        <v>0.024</v>
      </c>
      <c r="T51" s="83">
        <f t="shared" si="12"/>
        <v>0.6</v>
      </c>
      <c r="U51" s="83">
        <v>0.0097</v>
      </c>
      <c r="V51" s="83">
        <f t="shared" si="13"/>
        <v>0.97</v>
      </c>
      <c r="W51" s="110"/>
    </row>
    <row r="52" ht="15.75" spans="1:23">
      <c r="A52" s="4">
        <v>34</v>
      </c>
      <c r="B52" s="64"/>
      <c r="C52" s="181" t="s">
        <v>260</v>
      </c>
      <c r="D52" s="183" t="s">
        <v>261</v>
      </c>
      <c r="E52" s="182" t="s">
        <v>157</v>
      </c>
      <c r="F52" s="182" t="s">
        <v>262</v>
      </c>
      <c r="G52" s="67" t="s">
        <v>263</v>
      </c>
      <c r="H52" s="213" t="s">
        <v>81</v>
      </c>
      <c r="I52" s="182" t="s">
        <v>264</v>
      </c>
      <c r="J52" s="34">
        <v>1</v>
      </c>
      <c r="K52" s="74">
        <f t="shared" si="9"/>
        <v>5</v>
      </c>
      <c r="L52" s="74">
        <f t="shared" si="7"/>
        <v>25</v>
      </c>
      <c r="M52" s="74">
        <f t="shared" si="8"/>
        <v>100</v>
      </c>
      <c r="N52" s="88"/>
      <c r="O52" s="82">
        <v>0.1</v>
      </c>
      <c r="P52" s="83">
        <f t="shared" si="10"/>
        <v>0.1</v>
      </c>
      <c r="Q52" s="82">
        <v>0.1</v>
      </c>
      <c r="R52" s="83">
        <f t="shared" si="11"/>
        <v>0.5</v>
      </c>
      <c r="S52" s="83">
        <v>0.05</v>
      </c>
      <c r="T52" s="83">
        <f t="shared" si="12"/>
        <v>1.25</v>
      </c>
      <c r="U52" s="83">
        <v>0.0202</v>
      </c>
      <c r="V52" s="83">
        <f t="shared" si="13"/>
        <v>2.02</v>
      </c>
      <c r="W52" s="110"/>
    </row>
    <row r="53" ht="15.75" spans="1:23">
      <c r="A53" s="4">
        <v>35</v>
      </c>
      <c r="B53" s="64"/>
      <c r="C53" s="181" t="s">
        <v>265</v>
      </c>
      <c r="D53" s="33" t="s">
        <v>266</v>
      </c>
      <c r="E53" s="182" t="s">
        <v>157</v>
      </c>
      <c r="F53" s="182" t="s">
        <v>267</v>
      </c>
      <c r="G53" s="67" t="s">
        <v>52</v>
      </c>
      <c r="H53" s="213" t="s">
        <v>81</v>
      </c>
      <c r="I53" s="182" t="s">
        <v>268</v>
      </c>
      <c r="J53" s="34">
        <v>1</v>
      </c>
      <c r="K53" s="74">
        <f t="shared" si="9"/>
        <v>5</v>
      </c>
      <c r="L53" s="74">
        <f t="shared" si="7"/>
        <v>25</v>
      </c>
      <c r="M53" s="74">
        <f t="shared" si="8"/>
        <v>100</v>
      </c>
      <c r="N53" s="88"/>
      <c r="O53" s="82">
        <v>0.1</v>
      </c>
      <c r="P53" s="83">
        <f t="shared" si="10"/>
        <v>0.1</v>
      </c>
      <c r="Q53" s="82">
        <v>0.1</v>
      </c>
      <c r="R53" s="83">
        <f t="shared" si="11"/>
        <v>0.5</v>
      </c>
      <c r="S53" s="83">
        <v>0.024</v>
      </c>
      <c r="T53" s="83">
        <f t="shared" si="12"/>
        <v>0.6</v>
      </c>
      <c r="U53" s="83">
        <v>0.0097</v>
      </c>
      <c r="V53" s="83">
        <f t="shared" si="13"/>
        <v>0.97</v>
      </c>
      <c r="W53" s="110"/>
    </row>
    <row r="54" ht="15.75" spans="1:23">
      <c r="A54" s="4">
        <v>36</v>
      </c>
      <c r="B54" s="64"/>
      <c r="C54" s="181" t="s">
        <v>269</v>
      </c>
      <c r="D54" s="183" t="s">
        <v>270</v>
      </c>
      <c r="E54" s="182" t="s">
        <v>157</v>
      </c>
      <c r="F54" s="182" t="s">
        <v>271</v>
      </c>
      <c r="G54" s="67" t="s">
        <v>263</v>
      </c>
      <c r="H54" s="213" t="s">
        <v>81</v>
      </c>
      <c r="I54" s="182" t="s">
        <v>272</v>
      </c>
      <c r="J54" s="34">
        <v>1</v>
      </c>
      <c r="K54" s="74">
        <f t="shared" si="9"/>
        <v>5</v>
      </c>
      <c r="L54" s="74">
        <f t="shared" si="7"/>
        <v>25</v>
      </c>
      <c r="M54" s="74">
        <f t="shared" si="8"/>
        <v>100</v>
      </c>
      <c r="N54" s="88"/>
      <c r="O54" s="82">
        <v>0.1</v>
      </c>
      <c r="P54" s="83">
        <f t="shared" si="10"/>
        <v>0.1</v>
      </c>
      <c r="Q54" s="82">
        <v>0.1</v>
      </c>
      <c r="R54" s="83">
        <f t="shared" si="11"/>
        <v>0.5</v>
      </c>
      <c r="S54" s="83">
        <v>0.073</v>
      </c>
      <c r="T54" s="83">
        <f t="shared" si="12"/>
        <v>1.825</v>
      </c>
      <c r="U54" s="83">
        <v>0.0299</v>
      </c>
      <c r="V54" s="83">
        <f t="shared" si="13"/>
        <v>2.99</v>
      </c>
      <c r="W54" s="110"/>
    </row>
    <row r="55" ht="15.75" spans="1:23">
      <c r="A55" s="4">
        <v>37</v>
      </c>
      <c r="B55" s="64"/>
      <c r="C55" s="181" t="s">
        <v>273</v>
      </c>
      <c r="D55" s="183" t="s">
        <v>274</v>
      </c>
      <c r="E55" s="182" t="s">
        <v>157</v>
      </c>
      <c r="F55" s="182" t="s">
        <v>275</v>
      </c>
      <c r="G55" s="67" t="s">
        <v>52</v>
      </c>
      <c r="H55" s="67" t="s">
        <v>276</v>
      </c>
      <c r="I55" s="182" t="s">
        <v>277</v>
      </c>
      <c r="J55" s="34">
        <v>1</v>
      </c>
      <c r="K55" s="74">
        <f t="shared" si="9"/>
        <v>5</v>
      </c>
      <c r="L55" s="74">
        <f t="shared" si="7"/>
        <v>25</v>
      </c>
      <c r="M55" s="74">
        <f t="shared" si="8"/>
        <v>100</v>
      </c>
      <c r="N55" s="88"/>
      <c r="O55" s="82">
        <v>0.38</v>
      </c>
      <c r="P55" s="83">
        <f t="shared" si="10"/>
        <v>0.38</v>
      </c>
      <c r="Q55" s="82">
        <v>0.38</v>
      </c>
      <c r="R55" s="83">
        <f t="shared" si="11"/>
        <v>1.9</v>
      </c>
      <c r="S55" s="83">
        <v>0.275</v>
      </c>
      <c r="T55" s="83">
        <f t="shared" si="12"/>
        <v>6.875</v>
      </c>
      <c r="U55" s="83">
        <v>0.11</v>
      </c>
      <c r="V55" s="83">
        <f t="shared" si="13"/>
        <v>11</v>
      </c>
      <c r="W55" s="110"/>
    </row>
    <row r="56" ht="15.75" spans="1:23">
      <c r="A56" s="4">
        <v>38</v>
      </c>
      <c r="B56" s="64"/>
      <c r="C56" s="214" t="s">
        <v>278</v>
      </c>
      <c r="D56" s="215" t="s">
        <v>279</v>
      </c>
      <c r="E56" s="216" t="s">
        <v>157</v>
      </c>
      <c r="F56" s="216" t="s">
        <v>280</v>
      </c>
      <c r="G56" s="71" t="s">
        <v>52</v>
      </c>
      <c r="H56" s="217" t="s">
        <v>81</v>
      </c>
      <c r="I56" s="216" t="s">
        <v>281</v>
      </c>
      <c r="J56" s="70">
        <v>1</v>
      </c>
      <c r="K56" s="74">
        <f t="shared" si="9"/>
        <v>5</v>
      </c>
      <c r="L56" s="74">
        <f t="shared" si="7"/>
        <v>25</v>
      </c>
      <c r="M56" s="74">
        <f t="shared" si="8"/>
        <v>100</v>
      </c>
      <c r="N56" s="92"/>
      <c r="O56" s="103">
        <v>0.1</v>
      </c>
      <c r="P56" s="104">
        <f t="shared" si="10"/>
        <v>0.1</v>
      </c>
      <c r="Q56" s="103">
        <v>0.1</v>
      </c>
      <c r="R56" s="104">
        <f t="shared" si="11"/>
        <v>0.5</v>
      </c>
      <c r="S56" s="104">
        <v>0.024</v>
      </c>
      <c r="T56" s="104">
        <f t="shared" si="12"/>
        <v>0.6</v>
      </c>
      <c r="U56" s="104">
        <v>0.0097</v>
      </c>
      <c r="V56" s="104">
        <f t="shared" si="13"/>
        <v>0.97</v>
      </c>
      <c r="W56" s="120"/>
    </row>
    <row r="57" ht="15.75" spans="1:23">
      <c r="A57" s="4"/>
      <c r="B57" s="64"/>
      <c r="C57" s="167" t="s">
        <v>282</v>
      </c>
      <c r="D57" s="191" t="s">
        <v>283</v>
      </c>
      <c r="E57" s="191" t="s">
        <v>157</v>
      </c>
      <c r="F57" s="171" t="s">
        <v>284</v>
      </c>
      <c r="G57" s="191" t="s">
        <v>52</v>
      </c>
      <c r="H57" s="42"/>
      <c r="I57" s="192" t="s">
        <v>285</v>
      </c>
      <c r="J57" s="41">
        <v>1</v>
      </c>
      <c r="K57" s="74">
        <f t="shared" si="9"/>
        <v>5</v>
      </c>
      <c r="L57" s="74">
        <f t="shared" si="7"/>
        <v>25</v>
      </c>
      <c r="M57" s="74">
        <f t="shared" si="8"/>
        <v>100</v>
      </c>
      <c r="N57" s="88"/>
      <c r="O57" s="82"/>
      <c r="P57" s="83"/>
      <c r="Q57" s="82"/>
      <c r="R57" s="83"/>
      <c r="S57" s="83"/>
      <c r="T57" s="83"/>
      <c r="U57" s="83"/>
      <c r="V57" s="83"/>
      <c r="W57" s="67"/>
    </row>
    <row r="58" ht="15.75" spans="1:23">
      <c r="A58" s="4"/>
      <c r="B58" s="64"/>
      <c r="C58" s="167" t="s">
        <v>286</v>
      </c>
      <c r="D58" s="191" t="s">
        <v>287</v>
      </c>
      <c r="E58" s="191" t="s">
        <v>288</v>
      </c>
      <c r="F58" s="171" t="s">
        <v>289</v>
      </c>
      <c r="G58" s="191" t="s">
        <v>52</v>
      </c>
      <c r="H58" s="42"/>
      <c r="I58" s="192" t="s">
        <v>290</v>
      </c>
      <c r="J58" s="41">
        <v>1</v>
      </c>
      <c r="K58" s="74">
        <f t="shared" si="9"/>
        <v>5</v>
      </c>
      <c r="L58" s="74">
        <f t="shared" si="7"/>
        <v>25</v>
      </c>
      <c r="M58" s="74">
        <f t="shared" si="8"/>
        <v>100</v>
      </c>
      <c r="N58" s="88"/>
      <c r="O58" s="82"/>
      <c r="P58" s="83"/>
      <c r="Q58" s="82"/>
      <c r="R58" s="83"/>
      <c r="S58" s="83"/>
      <c r="T58" s="83"/>
      <c r="U58" s="83"/>
      <c r="V58" s="83"/>
      <c r="W58" s="67"/>
    </row>
    <row r="59" ht="15.75" spans="1:23">
      <c r="A59" s="4"/>
      <c r="B59" s="64"/>
      <c r="C59" s="167" t="s">
        <v>291</v>
      </c>
      <c r="D59" s="191" t="s">
        <v>292</v>
      </c>
      <c r="E59" s="191" t="s">
        <v>157</v>
      </c>
      <c r="F59" s="171" t="s">
        <v>293</v>
      </c>
      <c r="G59" s="191" t="s">
        <v>52</v>
      </c>
      <c r="H59" s="42"/>
      <c r="I59" s="192" t="s">
        <v>294</v>
      </c>
      <c r="J59" s="41">
        <v>1</v>
      </c>
      <c r="K59" s="74">
        <f t="shared" si="9"/>
        <v>5</v>
      </c>
      <c r="L59" s="74">
        <f t="shared" si="7"/>
        <v>25</v>
      </c>
      <c r="M59" s="74">
        <f t="shared" si="8"/>
        <v>100</v>
      </c>
      <c r="N59" s="88"/>
      <c r="O59" s="82"/>
      <c r="P59" s="83"/>
      <c r="Q59" s="82"/>
      <c r="R59" s="83"/>
      <c r="S59" s="83"/>
      <c r="T59" s="83"/>
      <c r="U59" s="83"/>
      <c r="V59" s="83"/>
      <c r="W59" s="67"/>
    </row>
    <row r="60" ht="30.75" spans="1:23">
      <c r="A60" s="4"/>
      <c r="B60" s="64"/>
      <c r="C60" s="167" t="s">
        <v>295</v>
      </c>
      <c r="D60" s="191" t="s">
        <v>296</v>
      </c>
      <c r="E60" s="191" t="s">
        <v>157</v>
      </c>
      <c r="F60" s="171" t="s">
        <v>297</v>
      </c>
      <c r="G60" s="191" t="s">
        <v>52</v>
      </c>
      <c r="H60" s="42"/>
      <c r="I60" s="192" t="s">
        <v>298</v>
      </c>
      <c r="J60" s="41">
        <v>2</v>
      </c>
      <c r="K60" s="74">
        <f t="shared" si="9"/>
        <v>10</v>
      </c>
      <c r="L60" s="74">
        <f t="shared" si="7"/>
        <v>50</v>
      </c>
      <c r="M60" s="74">
        <f t="shared" si="8"/>
        <v>200</v>
      </c>
      <c r="N60" s="88"/>
      <c r="O60" s="82"/>
      <c r="P60" s="83"/>
      <c r="Q60" s="82"/>
      <c r="R60" s="83"/>
      <c r="S60" s="83"/>
      <c r="T60" s="83"/>
      <c r="U60" s="83"/>
      <c r="V60" s="83"/>
      <c r="W60" s="67"/>
    </row>
    <row r="61" ht="15.75" spans="1:23">
      <c r="A61" s="4"/>
      <c r="B61" s="64"/>
      <c r="C61" s="167" t="s">
        <v>299</v>
      </c>
      <c r="D61" s="191" t="s">
        <v>300</v>
      </c>
      <c r="E61" s="191" t="s">
        <v>157</v>
      </c>
      <c r="F61" s="171" t="s">
        <v>301</v>
      </c>
      <c r="G61" s="191" t="s">
        <v>302</v>
      </c>
      <c r="H61" s="42"/>
      <c r="I61" s="192" t="s">
        <v>303</v>
      </c>
      <c r="J61" s="41">
        <v>1</v>
      </c>
      <c r="K61" s="74">
        <f t="shared" si="9"/>
        <v>5</v>
      </c>
      <c r="L61" s="74">
        <f t="shared" si="7"/>
        <v>25</v>
      </c>
      <c r="M61" s="74">
        <f t="shared" si="8"/>
        <v>100</v>
      </c>
      <c r="N61" s="88"/>
      <c r="O61" s="82"/>
      <c r="P61" s="83"/>
      <c r="Q61" s="82"/>
      <c r="R61" s="83"/>
      <c r="S61" s="83"/>
      <c r="T61" s="83"/>
      <c r="U61" s="83"/>
      <c r="V61" s="83"/>
      <c r="W61" s="67"/>
    </row>
    <row r="62" ht="15.75" spans="1:23">
      <c r="A62" s="4"/>
      <c r="B62" s="64"/>
      <c r="C62" s="167" t="s">
        <v>304</v>
      </c>
      <c r="D62" s="191" t="s">
        <v>305</v>
      </c>
      <c r="E62" s="191" t="s">
        <v>288</v>
      </c>
      <c r="F62" s="171" t="s">
        <v>306</v>
      </c>
      <c r="G62" s="191" t="s">
        <v>52</v>
      </c>
      <c r="H62" s="42"/>
      <c r="I62" s="192" t="s">
        <v>307</v>
      </c>
      <c r="J62" s="41">
        <v>1</v>
      </c>
      <c r="K62" s="74">
        <f t="shared" si="9"/>
        <v>5</v>
      </c>
      <c r="L62" s="74">
        <f t="shared" si="7"/>
        <v>25</v>
      </c>
      <c r="M62" s="74">
        <f t="shared" si="8"/>
        <v>100</v>
      </c>
      <c r="N62" s="88"/>
      <c r="O62" s="82"/>
      <c r="P62" s="83"/>
      <c r="Q62" s="82"/>
      <c r="R62" s="83"/>
      <c r="S62" s="83"/>
      <c r="T62" s="83"/>
      <c r="U62" s="83"/>
      <c r="V62" s="83"/>
      <c r="W62" s="67"/>
    </row>
    <row r="63" ht="15.75" spans="1:23">
      <c r="A63" s="4"/>
      <c r="B63" s="64"/>
      <c r="C63" s="167" t="s">
        <v>308</v>
      </c>
      <c r="D63" s="191" t="s">
        <v>309</v>
      </c>
      <c r="E63" s="191" t="s">
        <v>157</v>
      </c>
      <c r="F63" s="171" t="s">
        <v>310</v>
      </c>
      <c r="G63" s="191" t="s">
        <v>302</v>
      </c>
      <c r="H63" s="42"/>
      <c r="I63" s="192" t="s">
        <v>311</v>
      </c>
      <c r="J63" s="41">
        <v>1</v>
      </c>
      <c r="K63" s="74">
        <f t="shared" si="9"/>
        <v>5</v>
      </c>
      <c r="L63" s="74">
        <f t="shared" si="7"/>
        <v>25</v>
      </c>
      <c r="M63" s="74">
        <f t="shared" si="8"/>
        <v>100</v>
      </c>
      <c r="N63" s="88"/>
      <c r="O63" s="82"/>
      <c r="P63" s="83"/>
      <c r="Q63" s="82"/>
      <c r="R63" s="83"/>
      <c r="S63" s="83"/>
      <c r="T63" s="83"/>
      <c r="U63" s="83"/>
      <c r="V63" s="83"/>
      <c r="W63" s="67"/>
    </row>
    <row r="64" ht="45.75" spans="1:23">
      <c r="A64" s="4"/>
      <c r="B64" s="64"/>
      <c r="C64" s="167" t="s">
        <v>312</v>
      </c>
      <c r="D64" s="191" t="s">
        <v>313</v>
      </c>
      <c r="E64" s="191" t="s">
        <v>157</v>
      </c>
      <c r="F64" s="171" t="s">
        <v>314</v>
      </c>
      <c r="G64" s="191" t="s">
        <v>315</v>
      </c>
      <c r="H64" s="42"/>
      <c r="I64" s="192" t="s">
        <v>316</v>
      </c>
      <c r="J64" s="41">
        <v>1</v>
      </c>
      <c r="K64" s="74">
        <f t="shared" si="9"/>
        <v>5</v>
      </c>
      <c r="L64" s="74">
        <f t="shared" si="7"/>
        <v>25</v>
      </c>
      <c r="M64" s="74">
        <f t="shared" si="8"/>
        <v>100</v>
      </c>
      <c r="N64" s="88"/>
      <c r="O64" s="82"/>
      <c r="P64" s="83"/>
      <c r="Q64" s="82"/>
      <c r="R64" s="83"/>
      <c r="S64" s="83"/>
      <c r="T64" s="83"/>
      <c r="U64" s="83"/>
      <c r="V64" s="83"/>
      <c r="W64" s="67"/>
    </row>
    <row r="65" ht="45.75" spans="1:23">
      <c r="A65" s="4"/>
      <c r="B65" s="64"/>
      <c r="C65" s="167" t="s">
        <v>317</v>
      </c>
      <c r="D65" s="191" t="s">
        <v>318</v>
      </c>
      <c r="E65" s="191" t="s">
        <v>157</v>
      </c>
      <c r="F65" s="171" t="s">
        <v>319</v>
      </c>
      <c r="G65" s="191" t="s">
        <v>320</v>
      </c>
      <c r="H65" s="42"/>
      <c r="I65" s="192" t="s">
        <v>321</v>
      </c>
      <c r="J65" s="41">
        <v>1</v>
      </c>
      <c r="K65" s="74">
        <f t="shared" si="9"/>
        <v>5</v>
      </c>
      <c r="L65" s="74">
        <f t="shared" si="7"/>
        <v>25</v>
      </c>
      <c r="M65" s="74">
        <f t="shared" si="8"/>
        <v>100</v>
      </c>
      <c r="N65" s="88"/>
      <c r="O65" s="82"/>
      <c r="P65" s="83"/>
      <c r="Q65" s="82"/>
      <c r="R65" s="83"/>
      <c r="S65" s="83"/>
      <c r="T65" s="83"/>
      <c r="U65" s="83"/>
      <c r="V65" s="83"/>
      <c r="W65" s="67"/>
    </row>
    <row r="66" ht="15.75" spans="1:23">
      <c r="A66" s="4"/>
      <c r="B66" s="64"/>
      <c r="C66" s="167" t="s">
        <v>322</v>
      </c>
      <c r="D66" s="191" t="s">
        <v>323</v>
      </c>
      <c r="E66" s="191" t="s">
        <v>157</v>
      </c>
      <c r="F66" s="171" t="s">
        <v>324</v>
      </c>
      <c r="G66" s="191" t="s">
        <v>52</v>
      </c>
      <c r="H66" s="42"/>
      <c r="I66" s="192" t="s">
        <v>290</v>
      </c>
      <c r="J66" s="41">
        <v>4</v>
      </c>
      <c r="K66" s="74">
        <f t="shared" si="9"/>
        <v>20</v>
      </c>
      <c r="L66" s="74">
        <f t="shared" si="7"/>
        <v>100</v>
      </c>
      <c r="M66" s="74">
        <f t="shared" si="8"/>
        <v>400</v>
      </c>
      <c r="N66" s="88"/>
      <c r="O66" s="82"/>
      <c r="P66" s="83"/>
      <c r="Q66" s="82"/>
      <c r="R66" s="83"/>
      <c r="S66" s="83"/>
      <c r="T66" s="83"/>
      <c r="U66" s="83"/>
      <c r="V66" s="83"/>
      <c r="W66" s="67"/>
    </row>
    <row r="67" ht="26.25" spans="1:23">
      <c r="A67" s="4">
        <v>39</v>
      </c>
      <c r="B67" s="7" t="s">
        <v>325</v>
      </c>
      <c r="C67" s="218" t="s">
        <v>326</v>
      </c>
      <c r="D67" s="219" t="s">
        <v>327</v>
      </c>
      <c r="E67" s="212" t="s">
        <v>27</v>
      </c>
      <c r="F67" s="212" t="s">
        <v>328</v>
      </c>
      <c r="G67" s="191" t="s">
        <v>329</v>
      </c>
      <c r="H67" s="220" t="s">
        <v>81</v>
      </c>
      <c r="I67" s="212" t="s">
        <v>330</v>
      </c>
      <c r="J67" s="66">
        <v>1</v>
      </c>
      <c r="K67" s="74">
        <f t="shared" si="9"/>
        <v>5</v>
      </c>
      <c r="L67" s="74">
        <f t="shared" si="7"/>
        <v>25</v>
      </c>
      <c r="M67" s="74">
        <f t="shared" si="8"/>
        <v>100</v>
      </c>
      <c r="N67" s="88"/>
      <c r="O67" s="139">
        <v>0.036</v>
      </c>
      <c r="P67" s="80">
        <f>O67*J67</f>
        <v>0.036</v>
      </c>
      <c r="Q67" s="139">
        <v>1.8</v>
      </c>
      <c r="R67" s="80">
        <v>1.8</v>
      </c>
      <c r="S67" s="80">
        <v>1.8</v>
      </c>
      <c r="T67" s="80">
        <f>S67*L67</f>
        <v>45</v>
      </c>
      <c r="U67" s="80">
        <v>1.8</v>
      </c>
      <c r="V67" s="80">
        <f>U67*M67</f>
        <v>180</v>
      </c>
      <c r="W67" s="109" t="s">
        <v>331</v>
      </c>
    </row>
    <row r="68" ht="15.75" spans="1:23">
      <c r="A68" s="4"/>
      <c r="B68" s="12" t="s">
        <v>332</v>
      </c>
      <c r="C68" s="221" t="s">
        <v>333</v>
      </c>
      <c r="D68" s="222" t="s">
        <v>334</v>
      </c>
      <c r="E68" s="42"/>
      <c r="F68" s="222" t="s">
        <v>335</v>
      </c>
      <c r="G68" s="222" t="s">
        <v>336</v>
      </c>
      <c r="H68" s="125"/>
      <c r="I68" s="42"/>
      <c r="J68" s="124">
        <v>1</v>
      </c>
      <c r="K68" s="74">
        <f t="shared" si="9"/>
        <v>5</v>
      </c>
      <c r="L68" s="74">
        <f t="shared" ref="L68:L86" si="14">J68*25</f>
        <v>25</v>
      </c>
      <c r="M68" s="74">
        <f t="shared" ref="M68:M86" si="15">J68*100</f>
        <v>100</v>
      </c>
      <c r="N68" s="92"/>
      <c r="O68" s="95"/>
      <c r="P68" s="96"/>
      <c r="Q68" s="95"/>
      <c r="R68" s="96"/>
      <c r="S68" s="152"/>
      <c r="T68" s="96"/>
      <c r="U68" s="152"/>
      <c r="V68" s="96"/>
      <c r="W68" s="116"/>
    </row>
    <row r="69" ht="15.75" spans="1:23">
      <c r="A69" s="4"/>
      <c r="B69" s="126" t="s">
        <v>337</v>
      </c>
      <c r="C69" s="190" t="s">
        <v>338</v>
      </c>
      <c r="D69" s="191" t="s">
        <v>339</v>
      </c>
      <c r="E69" s="127"/>
      <c r="F69" s="191" t="s">
        <v>340</v>
      </c>
      <c r="G69" s="191" t="s">
        <v>341</v>
      </c>
      <c r="H69" s="41"/>
      <c r="I69" s="127"/>
      <c r="J69" s="41">
        <v>1</v>
      </c>
      <c r="K69" s="74">
        <f t="shared" si="9"/>
        <v>5</v>
      </c>
      <c r="L69" s="74">
        <f t="shared" si="14"/>
        <v>25</v>
      </c>
      <c r="M69" s="74">
        <f t="shared" si="15"/>
        <v>100</v>
      </c>
      <c r="N69" s="88"/>
      <c r="O69" s="82"/>
      <c r="P69" s="83"/>
      <c r="Q69" s="82"/>
      <c r="R69" s="83"/>
      <c r="S69" s="83"/>
      <c r="T69" s="83"/>
      <c r="U69" s="83"/>
      <c r="V69" s="83"/>
      <c r="W69" s="153"/>
    </row>
    <row r="70" ht="30.75" spans="1:23">
      <c r="A70" s="4">
        <v>42</v>
      </c>
      <c r="B70" s="126"/>
      <c r="C70" s="190" t="s">
        <v>342</v>
      </c>
      <c r="D70" s="191" t="s">
        <v>343</v>
      </c>
      <c r="E70" s="191" t="s">
        <v>344</v>
      </c>
      <c r="F70" s="171" t="s">
        <v>345</v>
      </c>
      <c r="G70" s="191" t="s">
        <v>341</v>
      </c>
      <c r="H70" s="23"/>
      <c r="I70" s="140"/>
      <c r="J70" s="41">
        <v>1</v>
      </c>
      <c r="K70" s="74">
        <f t="shared" si="9"/>
        <v>5</v>
      </c>
      <c r="L70" s="74">
        <f t="shared" si="14"/>
        <v>25</v>
      </c>
      <c r="M70" s="74">
        <f t="shared" si="15"/>
        <v>100</v>
      </c>
      <c r="N70" s="88"/>
      <c r="O70" s="82">
        <v>0.5</v>
      </c>
      <c r="P70" s="83" t="e">
        <f>O70*#REF!</f>
        <v>#REF!</v>
      </c>
      <c r="Q70" s="82">
        <v>0.5</v>
      </c>
      <c r="R70" s="83">
        <f>Q70*K70</f>
        <v>2.5</v>
      </c>
      <c r="S70" s="83">
        <v>0.4</v>
      </c>
      <c r="T70" s="83">
        <f>S70*L70</f>
        <v>10</v>
      </c>
      <c r="U70" s="83">
        <v>0.38</v>
      </c>
      <c r="V70" s="83">
        <f>U70*M70</f>
        <v>38</v>
      </c>
      <c r="W70" s="67"/>
    </row>
    <row r="71" ht="15.75" spans="1:23">
      <c r="A71" s="4">
        <v>45</v>
      </c>
      <c r="B71" s="126"/>
      <c r="C71" s="223" t="s">
        <v>346</v>
      </c>
      <c r="D71" s="33" t="s">
        <v>347</v>
      </c>
      <c r="E71" s="182" t="s">
        <v>348</v>
      </c>
      <c r="F71" s="182" t="s">
        <v>349</v>
      </c>
      <c r="G71" s="67" t="s">
        <v>350</v>
      </c>
      <c r="H71" s="213" t="s">
        <v>81</v>
      </c>
      <c r="I71" s="182" t="s">
        <v>330</v>
      </c>
      <c r="J71" s="34">
        <v>1</v>
      </c>
      <c r="K71" s="74">
        <f t="shared" si="9"/>
        <v>5</v>
      </c>
      <c r="L71" s="74">
        <f t="shared" si="14"/>
        <v>25</v>
      </c>
      <c r="M71" s="74">
        <f t="shared" si="15"/>
        <v>100</v>
      </c>
      <c r="N71" s="88"/>
      <c r="O71" s="82">
        <v>0.65</v>
      </c>
      <c r="P71" s="83">
        <f>O71*J71</f>
        <v>0.65</v>
      </c>
      <c r="Q71" s="82">
        <v>0.65</v>
      </c>
      <c r="R71" s="83">
        <f>Q71*K71</f>
        <v>3.25</v>
      </c>
      <c r="S71" s="83">
        <v>0.5228</v>
      </c>
      <c r="T71" s="83">
        <f>S71*L71</f>
        <v>13.07</v>
      </c>
      <c r="U71" s="83">
        <v>0.4182</v>
      </c>
      <c r="V71" s="83">
        <f>U71*M71</f>
        <v>41.82</v>
      </c>
      <c r="W71" s="67"/>
    </row>
    <row r="72" ht="15.75" spans="1:23">
      <c r="A72" s="4"/>
      <c r="B72" s="126"/>
      <c r="C72" s="190" t="s">
        <v>351</v>
      </c>
      <c r="D72" s="191" t="s">
        <v>352</v>
      </c>
      <c r="E72" s="42"/>
      <c r="F72" s="191" t="s">
        <v>353</v>
      </c>
      <c r="G72" s="191" t="s">
        <v>341</v>
      </c>
      <c r="H72" s="23"/>
      <c r="I72" s="42"/>
      <c r="J72" s="41">
        <v>1</v>
      </c>
      <c r="K72" s="74">
        <f t="shared" si="9"/>
        <v>5</v>
      </c>
      <c r="L72" s="74">
        <f t="shared" si="14"/>
        <v>25</v>
      </c>
      <c r="M72" s="74">
        <f t="shared" si="15"/>
        <v>100</v>
      </c>
      <c r="N72" s="88"/>
      <c r="O72" s="82"/>
      <c r="P72" s="83"/>
      <c r="Q72" s="82"/>
      <c r="R72" s="83"/>
      <c r="S72" s="83"/>
      <c r="T72" s="83"/>
      <c r="U72" s="83"/>
      <c r="V72" s="83"/>
      <c r="W72" s="67"/>
    </row>
    <row r="73" ht="30.75" spans="1:23">
      <c r="A73" s="4"/>
      <c r="B73" s="126"/>
      <c r="C73" s="190" t="s">
        <v>354</v>
      </c>
      <c r="D73" s="191" t="s">
        <v>355</v>
      </c>
      <c r="E73" s="191" t="s">
        <v>356</v>
      </c>
      <c r="F73" s="171" t="s">
        <v>357</v>
      </c>
      <c r="G73" s="191" t="s">
        <v>341</v>
      </c>
      <c r="H73" s="42"/>
      <c r="I73" s="42"/>
      <c r="J73" s="41">
        <v>1</v>
      </c>
      <c r="K73" s="74">
        <f t="shared" si="9"/>
        <v>5</v>
      </c>
      <c r="L73" s="74">
        <f t="shared" si="14"/>
        <v>25</v>
      </c>
      <c r="M73" s="74">
        <f t="shared" si="15"/>
        <v>100</v>
      </c>
      <c r="N73" s="88"/>
      <c r="O73" s="82"/>
      <c r="P73" s="83"/>
      <c r="Q73" s="82"/>
      <c r="R73" s="83"/>
      <c r="S73" s="83"/>
      <c r="T73" s="83"/>
      <c r="U73" s="83"/>
      <c r="V73" s="83"/>
      <c r="W73" s="67"/>
    </row>
    <row r="74" ht="15.75" spans="1:23">
      <c r="A74" s="4">
        <v>46</v>
      </c>
      <c r="B74" s="126"/>
      <c r="C74" s="223" t="s">
        <v>358</v>
      </c>
      <c r="D74" s="183" t="s">
        <v>359</v>
      </c>
      <c r="E74" s="182" t="s">
        <v>360</v>
      </c>
      <c r="F74" s="182" t="s">
        <v>361</v>
      </c>
      <c r="G74" s="67"/>
      <c r="H74" s="213" t="s">
        <v>81</v>
      </c>
      <c r="I74" s="182" t="s">
        <v>330</v>
      </c>
      <c r="J74" s="34">
        <v>1</v>
      </c>
      <c r="K74" s="74">
        <f t="shared" si="9"/>
        <v>5</v>
      </c>
      <c r="L74" s="74">
        <f t="shared" si="14"/>
        <v>25</v>
      </c>
      <c r="M74" s="74">
        <f t="shared" si="15"/>
        <v>100</v>
      </c>
      <c r="N74" s="88"/>
      <c r="O74" s="82">
        <v>6.63</v>
      </c>
      <c r="P74" s="83">
        <f>O74*J74</f>
        <v>6.63</v>
      </c>
      <c r="Q74" s="82">
        <v>6.63</v>
      </c>
      <c r="R74" s="83">
        <f>Q74*K74</f>
        <v>33.15</v>
      </c>
      <c r="S74" s="83">
        <v>5.6288</v>
      </c>
      <c r="T74" s="83">
        <f>S74*L74</f>
        <v>140.72</v>
      </c>
      <c r="U74" s="83">
        <v>4.8781</v>
      </c>
      <c r="V74" s="83">
        <f>U74*M74</f>
        <v>487.81</v>
      </c>
      <c r="W74" s="67"/>
    </row>
    <row r="75" ht="15.75" spans="1:23">
      <c r="A75" s="4">
        <v>47</v>
      </c>
      <c r="B75" s="129"/>
      <c r="C75" s="223" t="s">
        <v>362</v>
      </c>
      <c r="D75" s="183" t="s">
        <v>363</v>
      </c>
      <c r="E75" s="182" t="s">
        <v>364</v>
      </c>
      <c r="F75" s="182" t="s">
        <v>365</v>
      </c>
      <c r="G75" s="67" t="s">
        <v>366</v>
      </c>
      <c r="H75" s="213" t="s">
        <v>81</v>
      </c>
      <c r="I75" s="182" t="s">
        <v>330</v>
      </c>
      <c r="J75" s="34">
        <v>1</v>
      </c>
      <c r="K75" s="74">
        <f t="shared" si="9"/>
        <v>5</v>
      </c>
      <c r="L75" s="74">
        <f t="shared" si="14"/>
        <v>25</v>
      </c>
      <c r="M75" s="74">
        <f t="shared" si="15"/>
        <v>100</v>
      </c>
      <c r="N75" s="88"/>
      <c r="O75" s="82">
        <v>2.31</v>
      </c>
      <c r="P75" s="83">
        <f>O75*J75</f>
        <v>2.31</v>
      </c>
      <c r="Q75" s="82">
        <v>2.31</v>
      </c>
      <c r="R75" s="83">
        <f>Q75*K75</f>
        <v>11.55</v>
      </c>
      <c r="S75" s="83">
        <v>1.96</v>
      </c>
      <c r="T75" s="83">
        <f>S75*L75</f>
        <v>49</v>
      </c>
      <c r="U75" s="83">
        <v>1.6699</v>
      </c>
      <c r="V75" s="83">
        <f>U75*M75</f>
        <v>166.99</v>
      </c>
      <c r="W75" s="67"/>
    </row>
    <row r="76" ht="15.75" spans="1:23">
      <c r="A76" s="4"/>
      <c r="B76" s="126"/>
      <c r="C76" s="167" t="s">
        <v>367</v>
      </c>
      <c r="D76" s="191" t="s">
        <v>368</v>
      </c>
      <c r="E76" s="42"/>
      <c r="F76" s="191" t="s">
        <v>369</v>
      </c>
      <c r="G76" s="191" t="s">
        <v>341</v>
      </c>
      <c r="H76" s="42"/>
      <c r="I76" s="23"/>
      <c r="J76" s="41">
        <v>1</v>
      </c>
      <c r="K76" s="74">
        <f t="shared" si="9"/>
        <v>5</v>
      </c>
      <c r="L76" s="74">
        <f t="shared" si="14"/>
        <v>25</v>
      </c>
      <c r="M76" s="74">
        <f t="shared" si="15"/>
        <v>100</v>
      </c>
      <c r="N76" s="88"/>
      <c r="O76" s="139"/>
      <c r="P76" s="80"/>
      <c r="Q76" s="139"/>
      <c r="R76" s="80"/>
      <c r="S76" s="80"/>
      <c r="T76" s="80"/>
      <c r="U76" s="80"/>
      <c r="V76" s="80"/>
      <c r="W76" s="154"/>
    </row>
    <row r="77" ht="15.75" spans="1:23">
      <c r="A77" s="4"/>
      <c r="B77" s="126"/>
      <c r="C77" s="167" t="s">
        <v>370</v>
      </c>
      <c r="D77" s="191" t="s">
        <v>371</v>
      </c>
      <c r="E77" s="42"/>
      <c r="F77" s="191" t="s">
        <v>372</v>
      </c>
      <c r="G77" s="191" t="s">
        <v>373</v>
      </c>
      <c r="H77" s="42"/>
      <c r="I77" s="23"/>
      <c r="J77" s="41">
        <v>1</v>
      </c>
      <c r="K77" s="74">
        <f t="shared" si="9"/>
        <v>5</v>
      </c>
      <c r="L77" s="74">
        <f t="shared" si="14"/>
        <v>25</v>
      </c>
      <c r="M77" s="74">
        <f t="shared" si="15"/>
        <v>100</v>
      </c>
      <c r="N77" s="81" t="s">
        <v>37</v>
      </c>
      <c r="O77" s="79">
        <v>3.6</v>
      </c>
      <c r="P77" s="80"/>
      <c r="Q77" s="79">
        <v>3.6</v>
      </c>
      <c r="R77" s="80"/>
      <c r="S77" s="79">
        <v>3.06</v>
      </c>
      <c r="T77" s="80"/>
      <c r="U77" s="79">
        <v>2.652</v>
      </c>
      <c r="V77" s="80"/>
      <c r="W77" s="154" t="s">
        <v>374</v>
      </c>
    </row>
    <row r="78" ht="15.75" spans="1:23">
      <c r="A78" s="4"/>
      <c r="B78" s="126"/>
      <c r="C78" s="224" t="s">
        <v>375</v>
      </c>
      <c r="D78" s="225" t="s">
        <v>376</v>
      </c>
      <c r="E78" s="42"/>
      <c r="F78" s="225" t="s">
        <v>377</v>
      </c>
      <c r="G78" s="225" t="s">
        <v>341</v>
      </c>
      <c r="H78" s="42"/>
      <c r="I78" s="141"/>
      <c r="J78" s="131">
        <v>1</v>
      </c>
      <c r="K78" s="74">
        <f t="shared" si="9"/>
        <v>5</v>
      </c>
      <c r="L78" s="74">
        <f t="shared" si="14"/>
        <v>25</v>
      </c>
      <c r="M78" s="74">
        <f t="shared" si="15"/>
        <v>100</v>
      </c>
      <c r="N78" s="81" t="s">
        <v>378</v>
      </c>
      <c r="O78" s="142">
        <v>0.634</v>
      </c>
      <c r="P78" s="80"/>
      <c r="Q78" s="142">
        <v>0.634</v>
      </c>
      <c r="R78" s="80"/>
      <c r="S78" s="142">
        <v>0.556</v>
      </c>
      <c r="T78" s="80"/>
      <c r="U78" s="142">
        <v>0.426</v>
      </c>
      <c r="V78" s="80"/>
      <c r="W78" s="154" t="s">
        <v>374</v>
      </c>
    </row>
    <row r="79" ht="15.75" spans="1:23">
      <c r="A79" s="4">
        <v>48</v>
      </c>
      <c r="B79" s="7" t="s">
        <v>379</v>
      </c>
      <c r="C79" s="218" t="s">
        <v>380</v>
      </c>
      <c r="D79" s="212" t="s">
        <v>381</v>
      </c>
      <c r="E79" s="212" t="s">
        <v>27</v>
      </c>
      <c r="F79" s="212" t="s">
        <v>382</v>
      </c>
      <c r="G79" s="88" t="s">
        <v>383</v>
      </c>
      <c r="H79" s="220" t="s">
        <v>81</v>
      </c>
      <c r="I79" s="212" t="s">
        <v>330</v>
      </c>
      <c r="J79" s="66">
        <v>1</v>
      </c>
      <c r="K79" s="74">
        <f t="shared" si="9"/>
        <v>5</v>
      </c>
      <c r="L79" s="74">
        <f t="shared" si="14"/>
        <v>25</v>
      </c>
      <c r="M79" s="74">
        <f t="shared" si="15"/>
        <v>100</v>
      </c>
      <c r="N79" s="88"/>
      <c r="O79" s="139">
        <v>1.8448</v>
      </c>
      <c r="P79" s="80">
        <f>O79*J79</f>
        <v>1.8448</v>
      </c>
      <c r="Q79" s="139">
        <v>1.8448</v>
      </c>
      <c r="R79" s="80">
        <f>Q79*K79</f>
        <v>9.224</v>
      </c>
      <c r="S79" s="80">
        <v>1.3489</v>
      </c>
      <c r="T79" s="80">
        <f>S79*L79</f>
        <v>33.7225</v>
      </c>
      <c r="U79" s="80">
        <v>1.3489</v>
      </c>
      <c r="V79" s="80">
        <f>U79*M79</f>
        <v>134.89</v>
      </c>
      <c r="W79" s="109"/>
    </row>
    <row r="80" ht="26.25" spans="1:23">
      <c r="A80" s="4">
        <v>49</v>
      </c>
      <c r="B80" s="12"/>
      <c r="C80" s="181" t="s">
        <v>384</v>
      </c>
      <c r="D80" s="182" t="s">
        <v>385</v>
      </c>
      <c r="E80" s="182" t="s">
        <v>27</v>
      </c>
      <c r="F80" s="182" t="s">
        <v>386</v>
      </c>
      <c r="G80" s="67" t="s">
        <v>387</v>
      </c>
      <c r="H80" s="220" t="s">
        <v>81</v>
      </c>
      <c r="I80" s="182" t="s">
        <v>330</v>
      </c>
      <c r="J80" s="34">
        <v>2</v>
      </c>
      <c r="K80" s="74">
        <f t="shared" si="9"/>
        <v>10</v>
      </c>
      <c r="L80" s="74">
        <f t="shared" si="14"/>
        <v>50</v>
      </c>
      <c r="M80" s="74">
        <f t="shared" si="15"/>
        <v>200</v>
      </c>
      <c r="N80" s="88"/>
      <c r="O80" s="82">
        <v>1.92</v>
      </c>
      <c r="P80" s="83">
        <f>O80*J80</f>
        <v>3.84</v>
      </c>
      <c r="Q80" s="82">
        <v>1.744</v>
      </c>
      <c r="R80" s="83">
        <f>Q80*K80</f>
        <v>17.44</v>
      </c>
      <c r="S80" s="83">
        <v>1.566</v>
      </c>
      <c r="T80" s="83">
        <f>S80*L80</f>
        <v>78.3</v>
      </c>
      <c r="U80" s="83">
        <v>1.49483</v>
      </c>
      <c r="V80" s="83">
        <f>U80*M80</f>
        <v>298.966</v>
      </c>
      <c r="W80" s="110"/>
    </row>
    <row r="81" ht="15.75" spans="1:23">
      <c r="A81" s="4"/>
      <c r="B81" s="12"/>
      <c r="C81" s="190" t="s">
        <v>388</v>
      </c>
      <c r="D81" s="191" t="s">
        <v>389</v>
      </c>
      <c r="E81" s="42"/>
      <c r="F81" s="191" t="s">
        <v>390</v>
      </c>
      <c r="G81" s="191" t="s">
        <v>391</v>
      </c>
      <c r="H81" s="42"/>
      <c r="I81" s="23"/>
      <c r="J81" s="41">
        <v>1</v>
      </c>
      <c r="K81" s="74">
        <f t="shared" si="9"/>
        <v>5</v>
      </c>
      <c r="L81" s="74">
        <f t="shared" si="14"/>
        <v>25</v>
      </c>
      <c r="M81" s="74">
        <f t="shared" si="15"/>
        <v>100</v>
      </c>
      <c r="N81" s="81" t="s">
        <v>37</v>
      </c>
      <c r="O81" s="79">
        <v>1.43</v>
      </c>
      <c r="P81" s="83"/>
      <c r="Q81" s="79">
        <v>1.43</v>
      </c>
      <c r="R81" s="83"/>
      <c r="S81" s="79">
        <v>1.249</v>
      </c>
      <c r="T81" s="83"/>
      <c r="U81" s="79">
        <v>1.1157</v>
      </c>
      <c r="V81" s="83"/>
      <c r="W81" s="110" t="s">
        <v>374</v>
      </c>
    </row>
    <row r="82" ht="15.75" spans="1:23">
      <c r="A82" s="4">
        <v>51</v>
      </c>
      <c r="B82" s="12"/>
      <c r="C82" s="226" t="s">
        <v>392</v>
      </c>
      <c r="D82" s="227" t="s">
        <v>393</v>
      </c>
      <c r="E82" s="227" t="s">
        <v>27</v>
      </c>
      <c r="F82" s="227" t="s">
        <v>394</v>
      </c>
      <c r="G82" s="133" t="s">
        <v>395</v>
      </c>
      <c r="H82" s="228" t="s">
        <v>81</v>
      </c>
      <c r="I82" s="227" t="s">
        <v>330</v>
      </c>
      <c r="J82" s="133">
        <v>1</v>
      </c>
      <c r="K82" s="74">
        <f t="shared" si="9"/>
        <v>5</v>
      </c>
      <c r="L82" s="74">
        <f t="shared" si="14"/>
        <v>25</v>
      </c>
      <c r="M82" s="74">
        <f t="shared" si="15"/>
        <v>100</v>
      </c>
      <c r="N82" s="88"/>
      <c r="O82" s="143"/>
      <c r="P82" s="144">
        <f>O82*J82</f>
        <v>0</v>
      </c>
      <c r="Q82" s="143"/>
      <c r="R82" s="144">
        <f>Q82*K82</f>
        <v>0</v>
      </c>
      <c r="S82" s="144"/>
      <c r="T82" s="144">
        <f>S82*L82</f>
        <v>0</v>
      </c>
      <c r="U82" s="144"/>
      <c r="V82" s="144">
        <f>U82*M82</f>
        <v>0</v>
      </c>
      <c r="W82" s="155" t="s">
        <v>396</v>
      </c>
    </row>
    <row r="83" ht="15.75" spans="1:23">
      <c r="A83" s="4">
        <v>52</v>
      </c>
      <c r="B83" s="12"/>
      <c r="C83" s="181" t="s">
        <v>397</v>
      </c>
      <c r="D83" s="182" t="s">
        <v>398</v>
      </c>
      <c r="E83" s="182" t="s">
        <v>27</v>
      </c>
      <c r="F83" s="182" t="s">
        <v>399</v>
      </c>
      <c r="G83" s="67" t="s">
        <v>400</v>
      </c>
      <c r="H83" s="220" t="s">
        <v>81</v>
      </c>
      <c r="I83" s="182" t="s">
        <v>330</v>
      </c>
      <c r="J83" s="34">
        <v>2</v>
      </c>
      <c r="K83" s="74">
        <f t="shared" si="9"/>
        <v>10</v>
      </c>
      <c r="L83" s="74">
        <f t="shared" si="14"/>
        <v>50</v>
      </c>
      <c r="M83" s="74">
        <f t="shared" si="15"/>
        <v>200</v>
      </c>
      <c r="N83" s="88"/>
      <c r="O83" s="82">
        <v>1.5</v>
      </c>
      <c r="P83" s="83">
        <f>O83*J83</f>
        <v>3</v>
      </c>
      <c r="Q83" s="82">
        <v>1.5</v>
      </c>
      <c r="R83" s="83">
        <f>Q83*K83</f>
        <v>15</v>
      </c>
      <c r="S83" s="83">
        <v>1.5</v>
      </c>
      <c r="T83" s="83">
        <f>S83*L83</f>
        <v>75</v>
      </c>
      <c r="U83" s="83">
        <v>1.5</v>
      </c>
      <c r="V83" s="83">
        <f>U83*M83</f>
        <v>300</v>
      </c>
      <c r="W83" s="110"/>
    </row>
    <row r="84" ht="15.75" spans="1:23">
      <c r="A84" s="4">
        <v>53</v>
      </c>
      <c r="B84" s="12"/>
      <c r="C84" s="181" t="s">
        <v>401</v>
      </c>
      <c r="D84" s="191" t="s">
        <v>402</v>
      </c>
      <c r="E84" s="182" t="s">
        <v>403</v>
      </c>
      <c r="F84" s="34">
        <v>61300211121</v>
      </c>
      <c r="G84" s="67" t="s">
        <v>404</v>
      </c>
      <c r="H84" s="220" t="s">
        <v>81</v>
      </c>
      <c r="I84" s="182" t="s">
        <v>330</v>
      </c>
      <c r="J84" s="34">
        <v>4</v>
      </c>
      <c r="K84" s="74">
        <f t="shared" si="9"/>
        <v>20</v>
      </c>
      <c r="L84" s="74">
        <f t="shared" si="14"/>
        <v>100</v>
      </c>
      <c r="M84" s="74">
        <f t="shared" si="15"/>
        <v>400</v>
      </c>
      <c r="N84" s="88"/>
      <c r="O84" s="82">
        <v>0.13</v>
      </c>
      <c r="P84" s="83">
        <f>O84*J84</f>
        <v>0.52</v>
      </c>
      <c r="Q84" s="82">
        <v>0.106</v>
      </c>
      <c r="R84" s="83">
        <f>Q84*K84</f>
        <v>2.12</v>
      </c>
      <c r="S84" s="152">
        <v>0.074</v>
      </c>
      <c r="T84" s="83">
        <f>S84*L84</f>
        <v>7.4</v>
      </c>
      <c r="U84" s="152">
        <v>0.067</v>
      </c>
      <c r="V84" s="83">
        <f>U84*M84</f>
        <v>26.8</v>
      </c>
      <c r="W84" s="156"/>
    </row>
    <row r="85" ht="15.75" spans="1:23">
      <c r="A85" s="4">
        <v>54</v>
      </c>
      <c r="B85" s="12"/>
      <c r="C85" s="226" t="s">
        <v>405</v>
      </c>
      <c r="D85" s="227" t="s">
        <v>406</v>
      </c>
      <c r="E85" s="227" t="s">
        <v>407</v>
      </c>
      <c r="F85" s="227" t="s">
        <v>407</v>
      </c>
      <c r="G85" s="133"/>
      <c r="H85" s="133"/>
      <c r="I85" s="229" t="s">
        <v>330</v>
      </c>
      <c r="J85" s="133">
        <v>4</v>
      </c>
      <c r="K85" s="74">
        <f t="shared" si="9"/>
        <v>20</v>
      </c>
      <c r="L85" s="74">
        <f t="shared" si="14"/>
        <v>100</v>
      </c>
      <c r="M85" s="74">
        <f t="shared" si="15"/>
        <v>400</v>
      </c>
      <c r="N85" s="88"/>
      <c r="O85" s="133"/>
      <c r="P85" s="144">
        <f>O85*J85</f>
        <v>0</v>
      </c>
      <c r="Q85" s="143"/>
      <c r="R85" s="144">
        <f>Q85*K85</f>
        <v>0</v>
      </c>
      <c r="S85" s="144"/>
      <c r="T85" s="144">
        <f>S85*L85</f>
        <v>0</v>
      </c>
      <c r="U85" s="144"/>
      <c r="V85" s="144">
        <f>U85*M85</f>
        <v>0</v>
      </c>
      <c r="W85" s="155" t="s">
        <v>396</v>
      </c>
    </row>
    <row r="86" ht="45.75" spans="1:23">
      <c r="A86" s="4">
        <v>55</v>
      </c>
      <c r="B86" s="47"/>
      <c r="C86" s="230" t="s">
        <v>408</v>
      </c>
      <c r="D86" s="231" t="s">
        <v>409</v>
      </c>
      <c r="E86" s="232" t="s">
        <v>410</v>
      </c>
      <c r="F86" s="232" t="s">
        <v>410</v>
      </c>
      <c r="G86" s="137"/>
      <c r="H86" s="137"/>
      <c r="I86" s="233" t="s">
        <v>330</v>
      </c>
      <c r="J86" s="137">
        <v>11</v>
      </c>
      <c r="K86" s="74">
        <f t="shared" si="9"/>
        <v>55</v>
      </c>
      <c r="L86" s="74">
        <f t="shared" si="14"/>
        <v>275</v>
      </c>
      <c r="M86" s="74">
        <f t="shared" si="15"/>
        <v>1100</v>
      </c>
      <c r="N86" s="92"/>
      <c r="O86" s="137"/>
      <c r="P86" s="147">
        <f>O86*J86</f>
        <v>0</v>
      </c>
      <c r="Q86" s="157"/>
      <c r="R86" s="147">
        <f>Q86*K86</f>
        <v>0</v>
      </c>
      <c r="S86" s="147"/>
      <c r="T86" s="147">
        <f>S86*L86</f>
        <v>0</v>
      </c>
      <c r="U86" s="147"/>
      <c r="V86" s="147">
        <f>U86*M86</f>
        <v>0</v>
      </c>
      <c r="W86" s="158" t="s">
        <v>396</v>
      </c>
    </row>
    <row r="87" ht="19.5" spans="3:22">
      <c r="C87" s="138"/>
      <c r="D87" s="138"/>
      <c r="E87" s="138"/>
      <c r="F87" s="138"/>
      <c r="G87" s="138"/>
      <c r="H87" s="138"/>
      <c r="I87" s="138"/>
      <c r="J87" s="148" t="s">
        <v>411</v>
      </c>
      <c r="K87" s="148"/>
      <c r="L87" s="148"/>
      <c r="M87" s="148"/>
      <c r="N87" s="149"/>
      <c r="P87" s="80" t="e">
        <f>SUM(P3:P84)</f>
        <v>#REF!</v>
      </c>
      <c r="R87" s="80">
        <f>SUM(R3:R84)</f>
        <v>250.439</v>
      </c>
      <c r="T87" s="80">
        <f>SUM(T3:T86)</f>
        <v>1037.0725</v>
      </c>
      <c r="V87" s="80">
        <f>SUM(V3:V86)</f>
        <v>3571.294</v>
      </c>
    </row>
    <row r="88" ht="18.75" spans="10:22">
      <c r="J88" s="150" t="s">
        <v>412</v>
      </c>
      <c r="K88" s="150"/>
      <c r="L88" s="150"/>
      <c r="M88" s="150"/>
      <c r="N88" s="149"/>
      <c r="P88" s="151"/>
      <c r="R88" s="151">
        <f>R87/5</f>
        <v>50.0878</v>
      </c>
      <c r="T88" s="151">
        <f>T87/25</f>
        <v>41.4829</v>
      </c>
      <c r="V88" s="151">
        <f>V87/100</f>
        <v>35.71294</v>
      </c>
    </row>
  </sheetData>
  <mergeCells count="9">
    <mergeCell ref="A1:W1"/>
    <mergeCell ref="J87:M87"/>
    <mergeCell ref="J88:M88"/>
    <mergeCell ref="B3:B30"/>
    <mergeCell ref="B31:B32"/>
    <mergeCell ref="B33:B37"/>
    <mergeCell ref="B39:B41"/>
    <mergeCell ref="B43:B66"/>
    <mergeCell ref="B79:B86"/>
  </mergeCells>
  <conditionalFormatting sqref="P8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{47bff468-7880-4f2d-8881-1b3184f37e4d}</x14:id>
        </ext>
      </extLst>
    </cfRule>
  </conditionalFormatting>
  <conditionalFormatting sqref="R8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{a84e55bc-ab01-44b5-9627-a653342bcc1a}</x14:id>
        </ext>
      </extLst>
    </cfRule>
  </conditionalFormatting>
  <conditionalFormatting sqref="T8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{d527e41b-40a4-476e-a516-022359411c9f}</x14:id>
        </ext>
      </extLst>
    </cfRule>
  </conditionalFormatting>
  <conditionalFormatting sqref="V8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{86a34878-5bad-46e6-9069-a5b9a309c63b}</x14:id>
        </ext>
      </extLst>
    </cfRule>
  </conditionalFormatting>
  <conditionalFormatting sqref="P3:P86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{c317e346-a647-4dfe-9826-cf65683a4208}</x14:id>
        </ext>
      </extLst>
    </cfRule>
  </conditionalFormatting>
  <conditionalFormatting sqref="J3:M3 K4:M86 J74:J75 J71 J42:J43 J25:J30 J5 J45 J36:J38 J16 J47:J56 J67 J9:J13 J79:J80 J82:J86 N3:N8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N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:V70 U83:U84 R83:S86 V73:V84 R75:S81 U75:U81 U73 U71:V72 R71:S73 T71:T8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{ef790cbc-72a1-4f80-a3a4-49286be49942}</x14:id>
        </ext>
      </extLst>
    </cfRule>
  </conditionalFormatting>
  <conditionalFormatting sqref="T85:V8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{c4a00e9d-9fa7-4ce6-aae2-72ed457fd68b}</x14:id>
        </ext>
      </extLst>
    </cfRule>
  </conditionalFormatting>
  <hyperlinks>
    <hyperlink ref="N4" r:id="rId1" display="Digikey"/>
    <hyperlink ref="N5" r:id="rId2" display="Digikey"/>
    <hyperlink ref="N6" r:id="rId3" display="Digikey"/>
    <hyperlink ref="N7" r:id="rId4" display="Digikey"/>
    <hyperlink ref="N8" r:id="rId5" display="Digikey"/>
    <hyperlink ref="N81" r:id="rId6" display="Digikey"/>
    <hyperlink ref="N78" r:id="rId7" display="Mouser"/>
    <hyperlink ref="N77" r:id="rId8" display="Digikey"/>
  </hyperlinks>
  <pageMargins left="0.7" right="0.7" top="0.75" bottom="0.75" header="0.3" footer="0.3"/>
  <pageSetup paperSize="1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bff468-7880-4f2d-8881-1b3184f37e4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P87</xm:sqref>
        </x14:conditionalFormatting>
        <x14:conditionalFormatting xmlns:xm="http://schemas.microsoft.com/office/excel/2006/main">
          <x14:cfRule type="dataBar" id="{a84e55bc-ab01-44b5-9627-a653342bcc1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R87</xm:sqref>
        </x14:conditionalFormatting>
        <x14:conditionalFormatting xmlns:xm="http://schemas.microsoft.com/office/excel/2006/main">
          <x14:cfRule type="dataBar" id="{d527e41b-40a4-476e-a516-022359411c9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T87</xm:sqref>
        </x14:conditionalFormatting>
        <x14:conditionalFormatting xmlns:xm="http://schemas.microsoft.com/office/excel/2006/main">
          <x14:cfRule type="dataBar" id="{86a34878-5bad-46e6-9069-a5b9a309c6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V87</xm:sqref>
        </x14:conditionalFormatting>
        <x14:conditionalFormatting xmlns:xm="http://schemas.microsoft.com/office/excel/2006/main">
          <x14:cfRule type="dataBar" id="{c317e346-a647-4dfe-9826-cf65683a42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P3:P86</xm:sqref>
        </x14:conditionalFormatting>
        <x14:conditionalFormatting xmlns:xm="http://schemas.microsoft.com/office/excel/2006/main">
          <x14:cfRule type="dataBar" id="{ef790cbc-72a1-4f80-a3a4-49286be499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R3:V70 U83:U84 R83:S86 V73:V84 R75:S81 U75:U81 U73 U71:V72 R71:S73 T71:T84</xm:sqref>
        </x14:conditionalFormatting>
        <x14:conditionalFormatting xmlns:xm="http://schemas.microsoft.com/office/excel/2006/main">
          <x14:cfRule type="dataBar" id="{c4a00e9d-9fa7-4ce6-aae2-72ed457fd6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T85:V86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SM_Top_PCB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texon</cp:lastModifiedBy>
  <dcterms:created xsi:type="dcterms:W3CDTF">2021-07-08T12:50:00Z</dcterms:created>
  <dcterms:modified xsi:type="dcterms:W3CDTF">2022-03-24T13:48:36Z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37109F8E191D451990DC8E66242E2A28</vt:lpwstr>
  </property>
  <property fmtid="{D5CDD505-2E9C-101B-9397-08002B2CF9AE}" pid="3" name="KSOProductBuildVer">
    <vt:lpwstr>1033-11.2.0.11029</vt:lpwstr>
  </property>
</Properties>
</file>