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Temporary\ColeBenson-SmartMotors\Deliverables\SM_Top Board\_BOM\"/>
    </mc:Choice>
  </mc:AlternateContent>
  <bookViews>
    <workbookView xWindow="-120" yWindow="-120" windowWidth="20730" windowHeight="11160"/>
  </bookViews>
  <sheets>
    <sheet name="SM_Top_PCB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" i="1" l="1"/>
  <c r="Q53" i="1"/>
  <c r="S53" i="1"/>
  <c r="U53" i="1"/>
  <c r="L41" i="1" l="1"/>
  <c r="M41" i="1"/>
  <c r="O33" i="1" l="1"/>
  <c r="U41" i="1"/>
  <c r="S41" i="1"/>
  <c r="S49" i="1"/>
  <c r="M4" i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U36" i="1" s="1"/>
  <c r="M37" i="1"/>
  <c r="U37" i="1" s="1"/>
  <c r="M38" i="1"/>
  <c r="U38" i="1" s="1"/>
  <c r="M39" i="1"/>
  <c r="U39" i="1" s="1"/>
  <c r="M40" i="1"/>
  <c r="U40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U51" i="1" s="1"/>
  <c r="M52" i="1"/>
  <c r="U52" i="1" s="1"/>
  <c r="M53" i="1"/>
  <c r="M54" i="1"/>
  <c r="U54" i="1" s="1"/>
  <c r="M55" i="1"/>
  <c r="U55" i="1" s="1"/>
  <c r="M56" i="1"/>
  <c r="U56" i="1" s="1"/>
  <c r="M57" i="1"/>
  <c r="U57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L50" i="1"/>
  <c r="S50" i="1" s="1"/>
  <c r="L51" i="1"/>
  <c r="S51" i="1" s="1"/>
  <c r="L52" i="1"/>
  <c r="S52" i="1" s="1"/>
  <c r="L53" i="1"/>
  <c r="L54" i="1"/>
  <c r="S54" i="1" s="1"/>
  <c r="L55" i="1"/>
  <c r="S55" i="1" s="1"/>
  <c r="L56" i="1"/>
  <c r="S56" i="1" s="1"/>
  <c r="L57" i="1"/>
  <c r="S57" i="1" s="1"/>
  <c r="M3" i="1"/>
  <c r="U3" i="1" s="1"/>
  <c r="L3" i="1"/>
  <c r="S3" i="1" s="1"/>
  <c r="S58" i="1" l="1"/>
  <c r="S59" i="1" s="1"/>
  <c r="U58" i="1"/>
  <c r="U59" i="1" s="1"/>
  <c r="O5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4" i="1"/>
  <c r="O6" i="1"/>
  <c r="K16" i="1"/>
  <c r="Q16" i="1" s="1"/>
  <c r="O3" i="1"/>
  <c r="O4" i="1"/>
  <c r="O5" i="1"/>
  <c r="O56" i="1"/>
  <c r="O57" i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K42" i="1"/>
  <c r="Q42" i="1" s="1"/>
  <c r="K43" i="1"/>
  <c r="Q43" i="1" s="1"/>
  <c r="K44" i="1"/>
  <c r="Q44" i="1" s="1"/>
  <c r="K45" i="1"/>
  <c r="Q45" i="1" s="1"/>
  <c r="K46" i="1"/>
  <c r="Q46" i="1" s="1"/>
  <c r="K47" i="1"/>
  <c r="Q47" i="1" s="1"/>
  <c r="K48" i="1"/>
  <c r="Q48" i="1" s="1"/>
  <c r="K49" i="1"/>
  <c r="Q49" i="1" s="1"/>
  <c r="K50" i="1"/>
  <c r="Q50" i="1" s="1"/>
  <c r="K51" i="1"/>
  <c r="Q51" i="1" s="1"/>
  <c r="K52" i="1"/>
  <c r="Q52" i="1" s="1"/>
  <c r="K53" i="1"/>
  <c r="K54" i="1"/>
  <c r="Q54" i="1" s="1"/>
  <c r="K55" i="1"/>
  <c r="Q55" i="1" s="1"/>
  <c r="K56" i="1"/>
  <c r="Q56" i="1" s="1"/>
  <c r="K57" i="1"/>
  <c r="Q57" i="1" s="1"/>
  <c r="K3" i="1"/>
  <c r="Q3" i="1" s="1"/>
  <c r="Q58" i="1" l="1"/>
  <c r="Q59" i="1" s="1"/>
  <c r="O58" i="1"/>
</calcChain>
</file>

<file path=xl/sharedStrings.xml><?xml version="1.0" encoding="utf-8"?>
<sst xmlns="http://schemas.openxmlformats.org/spreadsheetml/2006/main" count="429" uniqueCount="297">
  <si>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</si>
  <si>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</si>
  <si>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</si>
  <si>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</si>
  <si>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</si>
  <si>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</si>
  <si>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</si>
  <si>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</si>
  <si>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</si>
  <si>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</si>
  <si>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</si>
  <si>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</si>
  <si>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</si>
  <si>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</si>
  <si>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</si>
  <si>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</si>
  <si>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</si>
  <si>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</si>
  <si>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</si>
  <si>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</si>
  <si>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</si>
  <si>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</si>
  <si>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</si>
  <si>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</si>
  <si>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</si>
  <si>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</si>
  <si>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</si>
  <si>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</si>
  <si>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</si>
  <si>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</si>
  <si>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</si>
  <si>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</si>
  <si>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</si>
  <si>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C9</t>
  </si>
  <si>
    <t>CC0603KRX5R8BB105</t>
  </si>
  <si>
    <t>2.2uF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</si>
  <si>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</si>
  <si>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</si>
  <si>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</si>
  <si>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</si>
  <si>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</si>
  <si>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</si>
  <si>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C15, C20</t>
  </si>
  <si>
    <t>220nF</t>
  </si>
  <si>
    <t>22nF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</si>
  <si>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</si>
  <si>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</si>
  <si>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</si>
  <si>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</si>
  <si>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</si>
  <si>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</si>
  <si>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</si>
  <si>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</si>
  <si>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</si>
  <si>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</si>
  <si>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</si>
  <si>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</si>
  <si>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</si>
  <si>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</si>
  <si>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</si>
  <si>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</si>
  <si>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</si>
  <si>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</si>
  <si>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</si>
  <si>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</si>
  <si>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</si>
  <si>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</si>
  <si>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</si>
  <si>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</si>
  <si>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</si>
  <si>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</si>
  <si>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</si>
  <si>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</si>
  <si>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</si>
  <si>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</si>
  <si>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</si>
  <si>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</si>
  <si>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</si>
  <si>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</si>
  <si>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</si>
  <si>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</si>
  <si>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</si>
  <si>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</si>
  <si>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</si>
  <si>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</si>
  <si>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</si>
  <si>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</si>
  <si>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</si>
  <si>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</si>
  <si>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</si>
  <si>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</si>
  <si>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</si>
  <si>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</si>
  <si>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</si>
  <si>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</si>
  <si>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</si>
  <si>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</si>
  <si>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</si>
  <si>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</si>
  <si>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</si>
  <si>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</si>
  <si>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</si>
  <si>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</si>
  <si>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</si>
  <si>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</si>
  <si>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</si>
  <si>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</si>
  <si>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</si>
  <si>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</si>
  <si>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</si>
  <si>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</si>
  <si>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</si>
  <si>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</si>
  <si>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</si>
  <si>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</si>
  <si>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</si>
  <si>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</si>
  <si>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</si>
  <si>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</si>
  <si>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</si>
  <si>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</si>
  <si>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</si>
  <si>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</si>
  <si>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</si>
  <si>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</si>
  <si>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</si>
  <si>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</si>
  <si>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</si>
  <si>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</si>
  <si>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</si>
  <si>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</si>
  <si>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</si>
  <si>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</si>
  <si>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</si>
  <si>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</si>
  <si>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</si>
  <si>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</si>
  <si>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</si>
  <si>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</si>
  <si>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</si>
  <si>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</si>
  <si>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</si>
  <si>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</si>
  <si>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</si>
  <si>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</si>
  <si>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</si>
  <si>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</si>
  <si>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</si>
  <si>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</si>
  <si>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</si>
  <si>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</si>
  <si>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</si>
  <si>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</si>
  <si>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</si>
  <si>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</si>
  <si>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</si>
  <si>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</si>
  <si>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</si>
  <si>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</si>
  <si>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</si>
  <si>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</si>
  <si>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</si>
  <si>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</si>
  <si>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</si>
  <si>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</si>
  <si>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</si>
  <si>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</si>
  <si>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</si>
  <si>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</si>
  <si>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</si>
  <si>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</si>
  <si>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</si>
  <si>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</si>
  <si>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</si>
  <si>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</si>
  <si>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</si>
  <si>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</si>
  <si>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</si>
  <si>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</si>
  <si>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</si>
  <si>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</si>
  <si>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</si>
  <si>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</si>
  <si>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</si>
  <si>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</si>
  <si>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</si>
  <si>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</si>
  <si>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</si>
  <si>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</si>
  <si>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</si>
  <si>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</si>
  <si>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</si>
  <si>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</si>
  <si>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</si>
  <si>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</si>
  <si>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</si>
  <si>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</si>
  <si>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</si>
  <si>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</si>
  <si>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</si>
  <si>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</si>
  <si>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</si>
  <si>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</si>
  <si>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</si>
  <si>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</si>
  <si>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</si>
  <si>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</si>
  <si>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</si>
  <si>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</si>
  <si>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</si>
  <si>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</si>
  <si>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</si>
  <si>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Yageo</t>
  </si>
  <si>
    <t>Panasonic Electronic Components</t>
  </si>
  <si>
    <t>AC0603FR-073K01L</t>
  </si>
  <si>
    <t>RT0603BRE0711K8L</t>
  </si>
  <si>
    <t>Texas Instruments</t>
  </si>
  <si>
    <t>DIODES INC.</t>
  </si>
  <si>
    <t>ON Semiconductor</t>
  </si>
  <si>
    <t>Maxim Integrated</t>
  </si>
  <si>
    <t>TE Connectivity AMP Connectors</t>
  </si>
  <si>
    <t>Voltage ratting is changed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</si>
  <si>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</si>
  <si>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</si>
  <si>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</si>
  <si>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</si>
  <si>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</si>
  <si>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</si>
  <si>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</si>
  <si>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</si>
  <si>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</si>
  <si>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</si>
  <si>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CC0603ZRY5V9BB104</t>
  </si>
  <si>
    <t>GCM21BC72A105KE36L</t>
  </si>
  <si>
    <t>CL10A474KB8NNNC</t>
  </si>
  <si>
    <t>CL10A225KL8NNNC</t>
  </si>
  <si>
    <t>CL10A475MA8NQNC</t>
  </si>
  <si>
    <t>CSHD3-40 TR13 PBFREE</t>
  </si>
  <si>
    <t>PMEG3010BER,115</t>
  </si>
  <si>
    <t>Only available on LCSC. Alternate suggested.</t>
  </si>
  <si>
    <t>EMVY630ARA221MKE0S</t>
  </si>
  <si>
    <t>Harwin Inc.</t>
  </si>
  <si>
    <t>JST Sales America Inc.</t>
  </si>
  <si>
    <t>SparkFun Electronics</t>
  </si>
  <si>
    <t>Würth Elektronik</t>
  </si>
  <si>
    <t>EEE-FK1H471AV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</si>
  <si>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</si>
  <si>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</si>
  <si>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</si>
  <si>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</si>
  <si>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</si>
  <si>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</si>
  <si>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</si>
  <si>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</si>
  <si>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50 per lot available</t>
  </si>
  <si>
    <t>Cap Ceramic 0.22uF 100V X7R 10% SMD 0805 125°C Embossed T/R</t>
  </si>
  <si>
    <t>08051C224K4T2A</t>
  </si>
  <si>
    <t>Custom</t>
  </si>
  <si>
    <t>Unit Cost (25 Boards)</t>
  </si>
  <si>
    <t>Total Cost (25)</t>
  </si>
  <si>
    <t>Unit Cost (100 Boards)</t>
  </si>
  <si>
    <t>Total Cost (100)</t>
  </si>
  <si>
    <t xml:space="preserve">CAP ALUM 220UF 20% 63V SMD
</t>
  </si>
  <si>
    <t>Quantity 25</t>
  </si>
  <si>
    <t>Quantity 100</t>
  </si>
  <si>
    <t xml:space="preserve">CAP CER 0.1UF 50V Y5V 0603
</t>
  </si>
  <si>
    <t xml:space="preserve">CAP ALUM 68UF 20% 50V SMD
</t>
  </si>
  <si>
    <t>--------</t>
  </si>
  <si>
    <t xml:space="preserve">CAP CER 1UF 25V X5R 0603
</t>
  </si>
  <si>
    <t xml:space="preserve">CAP CER 22UF 35V X5R 0805
</t>
  </si>
  <si>
    <t xml:space="preserve">CAP ALUM 470UF 20% 50V SMD
</t>
  </si>
  <si>
    <t xml:space="preserve">CAP CER 2.2UF 35V X5R 0603
</t>
  </si>
  <si>
    <t xml:space="preserve">CAP CER 0.022UF 100V X7R 0603
</t>
  </si>
  <si>
    <t>NON Stock</t>
  </si>
  <si>
    <t>some parameters are different</t>
  </si>
  <si>
    <t>C0603C102K1RACTU</t>
  </si>
  <si>
    <t>DPAK</t>
  </si>
  <si>
    <t xml:space="preserve">DIODE SCHOTTKY 40V 3A DPAK
</t>
  </si>
  <si>
    <t>-----</t>
  </si>
  <si>
    <t>----</t>
  </si>
  <si>
    <t xml:space="preserve">Bel Fuse Inc.
</t>
  </si>
  <si>
    <t xml:space="preserve">TDK Corporation
</t>
  </si>
  <si>
    <t xml:space="preserve">Infineon Technologies
</t>
  </si>
  <si>
    <t xml:space="preserve">RES SMD 1K OHM 5% 1/10W 0603
</t>
  </si>
  <si>
    <t xml:space="preserve">RES 0.033 OHM 1% 2W 2512
</t>
  </si>
  <si>
    <t xml:space="preserve">Texas Instruments
</t>
  </si>
  <si>
    <t xml:space="preserve"> XLSEMI</t>
  </si>
  <si>
    <t>SOFNG</t>
  </si>
  <si>
    <t xml:space="preserve">DO NOT MOUNT </t>
  </si>
  <si>
    <t xml:space="preserve">Total Component Cost </t>
  </si>
  <si>
    <t>Single Board Cost</t>
  </si>
  <si>
    <t>Remarks</t>
  </si>
  <si>
    <t>-------</t>
  </si>
  <si>
    <t>CC0603KRX7R0BB104</t>
  </si>
  <si>
    <t>CAP CER 0.1UF 100V X7R 0603</t>
  </si>
  <si>
    <t>CONN HEADER VERT 4POS 2.5MM</t>
  </si>
  <si>
    <t>B4B-XH-A(LF)(SN)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</si>
</sst>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4" fontId="5" fillId="4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44" fontId="3" fillId="0" borderId="0" xfId="0" applyNumberFormat="1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44" fontId="3" fillId="0" borderId="6" xfId="0" applyNumberFormat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44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4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164" fontId="3" fillId="0" borderId="20" xfId="0" applyNumberFormat="1" applyFont="1" applyBorder="1" applyAlignment="1">
      <alignment horizontal="center" vertical="center"/>
    </xf>
    <xf numFmtId="44" fontId="3" fillId="0" borderId="2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4" fillId="5" borderId="11" xfId="0" quotePrefix="1" applyFont="1" applyFill="1" applyBorder="1" applyAlignment="1">
      <alignment horizontal="center" vertical="center" wrapText="1"/>
    </xf>
    <xf numFmtId="0" fontId="4" fillId="5" borderId="8" xfId="0" quotePrefix="1" applyFont="1" applyFill="1" applyBorder="1" applyAlignment="1">
      <alignment horizontal="center" vertical="center" wrapText="1"/>
    </xf>
    <xf numFmtId="0" fontId="4" fillId="5" borderId="20" xfId="0" quotePrefix="1" applyFont="1" applyFill="1" applyBorder="1" applyAlignment="1">
      <alignment horizontal="center" vertical="center" wrapText="1"/>
    </xf>
    <xf numFmtId="44" fontId="0" fillId="0" borderId="0" xfId="0" applyNumberFormat="1"/>
    <xf numFmtId="0" fontId="4" fillId="5" borderId="5" xfId="0" quotePrefix="1" applyFont="1" applyFill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/>
    </xf>
    <xf numFmtId="44" fontId="3" fillId="0" borderId="5" xfId="0" applyNumberFormat="1" applyFont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8" xfId="0" quotePrefix="1" applyFont="1" applyBorder="1" applyAlignment="1">
      <alignment horizontal="center" vertical="center" wrapText="1"/>
    </xf>
    <xf numFmtId="0" fontId="3" fillId="0" borderId="29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4" fontId="3" fillId="0" borderId="3" xfId="0" applyNumberFormat="1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0" fillId="0" borderId="30" xfId="0" applyBorder="1"/>
    <xf numFmtId="0" fontId="9" fillId="4" borderId="10" xfId="0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4" fontId="5" fillId="4" borderId="11" xfId="0" applyNumberFormat="1" applyFont="1" applyFill="1" applyBorder="1" applyAlignment="1">
      <alignment horizontal="center" vertical="center" wrapText="1"/>
    </xf>
    <xf numFmtId="164" fontId="5" fillId="4" borderId="11" xfId="0" applyNumberFormat="1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 wrapText="1"/>
    </xf>
    <xf numFmtId="0" fontId="4" fillId="0" borderId="15" xfId="0" quotePrefix="1" applyFont="1" applyBorder="1" applyAlignment="1">
      <alignment horizontal="left" vertical="center" wrapText="1"/>
    </xf>
    <xf numFmtId="0" fontId="4" fillId="0" borderId="27" xfId="0" quotePrefix="1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left" vertical="center" wrapText="1"/>
    </xf>
    <xf numFmtId="0" fontId="5" fillId="4" borderId="14" xfId="0" quotePrefix="1" applyFont="1" applyFill="1" applyBorder="1" applyAlignment="1">
      <alignment horizontal="left" vertical="center" wrapText="1"/>
    </xf>
    <xf numFmtId="0" fontId="5" fillId="4" borderId="15" xfId="0" quotePrefix="1" applyFont="1" applyFill="1" applyBorder="1" applyAlignment="1">
      <alignment horizontal="left" vertical="center" wrapText="1"/>
    </xf>
    <xf numFmtId="0" fontId="10" fillId="5" borderId="26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5" fillId="4" borderId="6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9"/>
  <sheetViews>
    <sheetView tabSelected="1" topLeftCell="A41" workbookViewId="0">
      <selection activeCell="C53" sqref="C53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28515625" bestFit="1" customWidth="1"/>
    <col min="4" max="4" width="21.5703125" customWidth="1"/>
    <col min="5" max="5" width="18.5703125" bestFit="1" customWidth="1"/>
    <col min="6" max="6" width="28.5703125" bestFit="1" customWidth="1"/>
    <col min="7" max="7" width="28.28515625" bestFit="1" customWidth="1"/>
    <col min="8" max="8" width="19.85546875" bestFit="1" customWidth="1"/>
    <col min="9" max="9" width="6.28515625" bestFit="1" customWidth="1"/>
    <col min="10" max="10" width="19.42578125" bestFit="1" customWidth="1"/>
    <col min="11" max="13" width="18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7.5703125" bestFit="1" customWidth="1"/>
  </cols>
  <sheetData>
    <row r="1" spans="1:22" ht="16.5" thickBot="1" x14ac:dyDescent="0.3">
      <c r="A1" s="109" t="s">
        <v>188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1"/>
    </row>
    <row r="2" spans="1:22" s="82" customFormat="1" ht="15.75" thickBot="1" x14ac:dyDescent="0.3">
      <c r="A2" s="75" t="s">
        <v>189</v>
      </c>
      <c r="B2" s="76" t="s">
        <v>190</v>
      </c>
      <c r="C2" s="77" t="s">
        <v>0</v>
      </c>
      <c r="D2" s="76" t="s">
        <v>1</v>
      </c>
      <c r="E2" s="76" t="s">
        <v>191</v>
      </c>
      <c r="F2" s="77" t="s">
        <v>2</v>
      </c>
      <c r="G2" s="76" t="s">
        <v>192</v>
      </c>
      <c r="H2" s="77" t="s">
        <v>193</v>
      </c>
      <c r="I2" s="76" t="s">
        <v>194</v>
      </c>
      <c r="J2" s="77" t="s">
        <v>195</v>
      </c>
      <c r="K2" s="76" t="s">
        <v>196</v>
      </c>
      <c r="L2" s="78" t="s">
        <v>263</v>
      </c>
      <c r="M2" s="79" t="s">
        <v>264</v>
      </c>
      <c r="N2" s="79" t="s">
        <v>197</v>
      </c>
      <c r="O2" s="79" t="s">
        <v>198</v>
      </c>
      <c r="P2" s="80" t="s">
        <v>199</v>
      </c>
      <c r="Q2" s="79" t="s">
        <v>200</v>
      </c>
      <c r="R2" s="80" t="s">
        <v>258</v>
      </c>
      <c r="S2" s="79" t="s">
        <v>259</v>
      </c>
      <c r="T2" s="80" t="s">
        <v>260</v>
      </c>
      <c r="U2" s="79" t="s">
        <v>261</v>
      </c>
      <c r="V2" s="81" t="s">
        <v>291</v>
      </c>
    </row>
    <row r="3" spans="1:22" ht="26.25" thickBot="1" x14ac:dyDescent="0.3">
      <c r="A3" s="75">
        <v>1</v>
      </c>
      <c r="B3" s="106" t="s">
        <v>201</v>
      </c>
      <c r="C3" s="95" t="s">
        <v>262</v>
      </c>
      <c r="D3" s="61" t="s">
        <v>4</v>
      </c>
      <c r="E3" s="22" t="s">
        <v>257</v>
      </c>
      <c r="F3" s="22" t="s">
        <v>5</v>
      </c>
      <c r="G3" s="22" t="s">
        <v>222</v>
      </c>
      <c r="H3" s="23" t="s">
        <v>240</v>
      </c>
      <c r="I3" s="22" t="s">
        <v>3</v>
      </c>
      <c r="J3" s="24">
        <v>2</v>
      </c>
      <c r="K3" s="25">
        <f>J3*5</f>
        <v>10</v>
      </c>
      <c r="L3" s="25">
        <f>J3*25</f>
        <v>50</v>
      </c>
      <c r="M3" s="25">
        <f>J3*100</f>
        <v>200</v>
      </c>
      <c r="N3" s="26">
        <v>1.58</v>
      </c>
      <c r="O3" s="27">
        <f t="shared" ref="O3:O34" si="0">N3*J3</f>
        <v>3.16</v>
      </c>
      <c r="P3" s="26">
        <v>1.2450000000000001</v>
      </c>
      <c r="Q3" s="27">
        <f t="shared" ref="Q3:Q40" si="1">P3*K3</f>
        <v>12.450000000000001</v>
      </c>
      <c r="R3" s="27">
        <v>1.0793999999999999</v>
      </c>
      <c r="S3" s="27">
        <f t="shared" ref="S3:S34" si="2">R3*L3</f>
        <v>53.97</v>
      </c>
      <c r="T3" s="27">
        <v>0.93410000000000004</v>
      </c>
      <c r="U3" s="27">
        <f t="shared" ref="U3:U34" si="3">T3*M3</f>
        <v>186.82000000000002</v>
      </c>
      <c r="V3" s="28" t="s">
        <v>239</v>
      </c>
    </row>
    <row r="4" spans="1:22" ht="26.25" thickBot="1" x14ac:dyDescent="0.3">
      <c r="A4" s="75">
        <v>2</v>
      </c>
      <c r="B4" s="107"/>
      <c r="C4" s="96" t="s">
        <v>265</v>
      </c>
      <c r="D4" s="57" t="s">
        <v>7</v>
      </c>
      <c r="E4" s="6" t="s">
        <v>8</v>
      </c>
      <c r="F4" s="6" t="s">
        <v>9</v>
      </c>
      <c r="G4" s="6" t="s">
        <v>223</v>
      </c>
      <c r="H4" s="16" t="s">
        <v>232</v>
      </c>
      <c r="I4" s="6" t="s">
        <v>6</v>
      </c>
      <c r="J4" s="7">
        <v>8</v>
      </c>
      <c r="K4" s="5">
        <f t="shared" ref="K4:K57" si="4">J4*5</f>
        <v>40</v>
      </c>
      <c r="L4" s="5">
        <f t="shared" ref="L4:L57" si="5">J4*25</f>
        <v>200</v>
      </c>
      <c r="M4" s="5">
        <f t="shared" ref="M4:M57" si="6">J4*100</f>
        <v>800</v>
      </c>
      <c r="N4" s="8">
        <v>0.1</v>
      </c>
      <c r="O4" s="9">
        <f t="shared" si="0"/>
        <v>0.8</v>
      </c>
      <c r="P4" s="8">
        <v>4.8000000000000001E-2</v>
      </c>
      <c r="Q4" s="9">
        <f t="shared" si="1"/>
        <v>1.92</v>
      </c>
      <c r="R4" s="9">
        <v>2.1399999999999999E-2</v>
      </c>
      <c r="S4" s="9">
        <f t="shared" si="2"/>
        <v>4.2799999999999994</v>
      </c>
      <c r="T4" s="9">
        <v>1.5259999999999999E-2</v>
      </c>
      <c r="U4" s="9">
        <f t="shared" si="3"/>
        <v>12.208</v>
      </c>
      <c r="V4" s="29"/>
    </row>
    <row r="5" spans="1:22" ht="15.75" thickBot="1" x14ac:dyDescent="0.3">
      <c r="A5" s="75">
        <v>3</v>
      </c>
      <c r="B5" s="107"/>
      <c r="C5" s="97" t="s">
        <v>11</v>
      </c>
      <c r="D5" s="57" t="s">
        <v>12</v>
      </c>
      <c r="E5" s="6" t="s">
        <v>13</v>
      </c>
      <c r="F5" s="6" t="s">
        <v>14</v>
      </c>
      <c r="G5" s="6" t="s">
        <v>224</v>
      </c>
      <c r="H5" s="16" t="s">
        <v>233</v>
      </c>
      <c r="I5" s="6" t="s">
        <v>10</v>
      </c>
      <c r="J5" s="7">
        <v>1</v>
      </c>
      <c r="K5" s="5">
        <f t="shared" si="4"/>
        <v>5</v>
      </c>
      <c r="L5" s="5">
        <f t="shared" si="5"/>
        <v>25</v>
      </c>
      <c r="M5" s="5">
        <f t="shared" si="6"/>
        <v>100</v>
      </c>
      <c r="N5" s="8">
        <v>0.48</v>
      </c>
      <c r="O5" s="9">
        <f t="shared" si="0"/>
        <v>0.48</v>
      </c>
      <c r="P5" s="8">
        <v>0.48</v>
      </c>
      <c r="Q5" s="9">
        <f t="shared" si="1"/>
        <v>2.4</v>
      </c>
      <c r="R5" s="9">
        <v>0.34100000000000003</v>
      </c>
      <c r="S5" s="9">
        <f t="shared" si="2"/>
        <v>8.5250000000000004</v>
      </c>
      <c r="T5" s="9">
        <v>0.2248</v>
      </c>
      <c r="U5" s="9">
        <f t="shared" si="3"/>
        <v>22.48</v>
      </c>
      <c r="V5" s="29"/>
    </row>
    <row r="6" spans="1:22" ht="15.75" thickBot="1" x14ac:dyDescent="0.3">
      <c r="A6" s="75">
        <v>4</v>
      </c>
      <c r="B6" s="107"/>
      <c r="C6" s="96" t="s">
        <v>270</v>
      </c>
      <c r="D6" s="57" t="s">
        <v>16</v>
      </c>
      <c r="E6" s="6" t="s">
        <v>257</v>
      </c>
      <c r="F6" s="6" t="s">
        <v>17</v>
      </c>
      <c r="G6" s="6" t="s">
        <v>225</v>
      </c>
      <c r="H6" s="15" t="s">
        <v>245</v>
      </c>
      <c r="I6" s="6" t="s">
        <v>15</v>
      </c>
      <c r="J6" s="7">
        <v>1</v>
      </c>
      <c r="K6" s="5">
        <f t="shared" si="4"/>
        <v>5</v>
      </c>
      <c r="L6" s="5">
        <f t="shared" si="5"/>
        <v>25</v>
      </c>
      <c r="M6" s="5">
        <f t="shared" si="6"/>
        <v>100</v>
      </c>
      <c r="N6" s="8">
        <v>2.77</v>
      </c>
      <c r="O6" s="9">
        <f t="shared" si="0"/>
        <v>2.77</v>
      </c>
      <c r="P6" s="8">
        <v>2.77</v>
      </c>
      <c r="Q6" s="9">
        <f t="shared" si="1"/>
        <v>13.85</v>
      </c>
      <c r="R6" s="9">
        <v>2.2429999999999999</v>
      </c>
      <c r="S6" s="9">
        <f t="shared" si="2"/>
        <v>56.074999999999996</v>
      </c>
      <c r="T6" s="9">
        <v>1.9572000000000001</v>
      </c>
      <c r="U6" s="9">
        <f t="shared" si="3"/>
        <v>195.72</v>
      </c>
      <c r="V6" s="29" t="s">
        <v>246</v>
      </c>
    </row>
    <row r="7" spans="1:22" ht="15.75" thickBot="1" x14ac:dyDescent="0.3">
      <c r="A7" s="75">
        <v>5</v>
      </c>
      <c r="B7" s="107"/>
      <c r="C7" s="96" t="s">
        <v>266</v>
      </c>
      <c r="D7" s="57" t="s">
        <v>19</v>
      </c>
      <c r="E7" s="6" t="s">
        <v>257</v>
      </c>
      <c r="F7" s="6" t="s">
        <v>20</v>
      </c>
      <c r="G7" s="6" t="s">
        <v>222</v>
      </c>
      <c r="H7" s="15" t="s">
        <v>247</v>
      </c>
      <c r="I7" s="6" t="s">
        <v>18</v>
      </c>
      <c r="J7" s="7">
        <v>1</v>
      </c>
      <c r="K7" s="5">
        <f t="shared" si="4"/>
        <v>5</v>
      </c>
      <c r="L7" s="5">
        <f t="shared" si="5"/>
        <v>25</v>
      </c>
      <c r="M7" s="5">
        <f t="shared" si="6"/>
        <v>100</v>
      </c>
      <c r="N7" s="8">
        <v>0.76</v>
      </c>
      <c r="O7" s="9">
        <f t="shared" si="0"/>
        <v>0.76</v>
      </c>
      <c r="P7" s="8">
        <v>0.76</v>
      </c>
      <c r="Q7" s="9">
        <f t="shared" si="1"/>
        <v>3.8</v>
      </c>
      <c r="R7" s="9">
        <v>0.53800000000000003</v>
      </c>
      <c r="S7" s="9">
        <f t="shared" si="2"/>
        <v>13.450000000000001</v>
      </c>
      <c r="T7" s="9">
        <v>0.3543</v>
      </c>
      <c r="U7" s="9">
        <f t="shared" si="3"/>
        <v>35.43</v>
      </c>
      <c r="V7" s="29" t="s">
        <v>246</v>
      </c>
    </row>
    <row r="8" spans="1:22" ht="15.75" thickBot="1" x14ac:dyDescent="0.3">
      <c r="A8" s="75">
        <v>6</v>
      </c>
      <c r="B8" s="107"/>
      <c r="C8" s="97" t="s">
        <v>22</v>
      </c>
      <c r="D8" s="57" t="s">
        <v>23</v>
      </c>
      <c r="E8" s="6" t="s">
        <v>8</v>
      </c>
      <c r="F8" s="6" t="s">
        <v>24</v>
      </c>
      <c r="G8" s="6" t="s">
        <v>212</v>
      </c>
      <c r="H8" s="15" t="s">
        <v>267</v>
      </c>
      <c r="I8" s="6" t="s">
        <v>21</v>
      </c>
      <c r="J8" s="7">
        <v>1</v>
      </c>
      <c r="K8" s="5">
        <f t="shared" si="4"/>
        <v>5</v>
      </c>
      <c r="L8" s="5">
        <f t="shared" si="5"/>
        <v>25</v>
      </c>
      <c r="M8" s="5">
        <f t="shared" si="6"/>
        <v>100</v>
      </c>
      <c r="N8" s="8">
        <v>0.1</v>
      </c>
      <c r="O8" s="9">
        <f t="shared" si="0"/>
        <v>0.1</v>
      </c>
      <c r="P8" s="8">
        <v>0.1</v>
      </c>
      <c r="Q8" s="9">
        <f t="shared" si="1"/>
        <v>0.5</v>
      </c>
      <c r="R8" s="9">
        <v>4.7E-2</v>
      </c>
      <c r="S8" s="9">
        <f t="shared" si="2"/>
        <v>1.175</v>
      </c>
      <c r="T8" s="9">
        <v>2.1000000000000001E-2</v>
      </c>
      <c r="U8" s="9">
        <f t="shared" si="3"/>
        <v>2.1</v>
      </c>
      <c r="V8" s="29"/>
    </row>
    <row r="9" spans="1:22" ht="15.75" thickBot="1" x14ac:dyDescent="0.3">
      <c r="A9" s="75">
        <v>7</v>
      </c>
      <c r="B9" s="107"/>
      <c r="C9" s="97" t="s">
        <v>26</v>
      </c>
      <c r="D9" s="57" t="s">
        <v>27</v>
      </c>
      <c r="E9" s="6" t="s">
        <v>28</v>
      </c>
      <c r="F9" s="6" t="s">
        <v>29</v>
      </c>
      <c r="G9" s="6" t="s">
        <v>226</v>
      </c>
      <c r="H9" s="16" t="s">
        <v>234</v>
      </c>
      <c r="I9" s="6" t="s">
        <v>25</v>
      </c>
      <c r="J9" s="7">
        <v>1</v>
      </c>
      <c r="K9" s="5">
        <f t="shared" si="4"/>
        <v>5</v>
      </c>
      <c r="L9" s="5">
        <f t="shared" si="5"/>
        <v>25</v>
      </c>
      <c r="M9" s="5">
        <f t="shared" si="6"/>
        <v>100</v>
      </c>
      <c r="N9" s="8">
        <v>0.27</v>
      </c>
      <c r="O9" s="9">
        <f t="shared" si="0"/>
        <v>0.27</v>
      </c>
      <c r="P9" s="8">
        <v>0.27</v>
      </c>
      <c r="Q9" s="9">
        <f t="shared" si="1"/>
        <v>1.35</v>
      </c>
      <c r="R9" s="9">
        <v>0.18099999999999999</v>
      </c>
      <c r="S9" s="9">
        <f t="shared" si="2"/>
        <v>4.5249999999999995</v>
      </c>
      <c r="T9" s="9">
        <v>9.1800000000000007E-2</v>
      </c>
      <c r="U9" s="9">
        <f t="shared" si="3"/>
        <v>9.1800000000000015</v>
      </c>
      <c r="V9" s="29"/>
    </row>
    <row r="10" spans="1:22" ht="15.75" thickBot="1" x14ac:dyDescent="0.3">
      <c r="A10" s="75">
        <v>8</v>
      </c>
      <c r="B10" s="107"/>
      <c r="C10" s="96" t="s">
        <v>269</v>
      </c>
      <c r="D10" s="57" t="s">
        <v>31</v>
      </c>
      <c r="E10" s="6" t="s">
        <v>13</v>
      </c>
      <c r="F10" s="6" t="s">
        <v>32</v>
      </c>
      <c r="G10" s="6" t="s">
        <v>224</v>
      </c>
      <c r="H10" s="15" t="s">
        <v>267</v>
      </c>
      <c r="I10" s="6" t="s">
        <v>30</v>
      </c>
      <c r="J10" s="7">
        <v>1</v>
      </c>
      <c r="K10" s="5">
        <f t="shared" si="4"/>
        <v>5</v>
      </c>
      <c r="L10" s="5">
        <f t="shared" si="5"/>
        <v>25</v>
      </c>
      <c r="M10" s="5">
        <f t="shared" si="6"/>
        <v>100</v>
      </c>
      <c r="N10" s="8">
        <v>1.03</v>
      </c>
      <c r="O10" s="9">
        <f t="shared" si="0"/>
        <v>1.03</v>
      </c>
      <c r="P10" s="8">
        <v>1.03</v>
      </c>
      <c r="Q10" s="9">
        <f t="shared" si="1"/>
        <v>5.15</v>
      </c>
      <c r="R10" s="9">
        <v>0.78500000000000003</v>
      </c>
      <c r="S10" s="9">
        <f t="shared" si="2"/>
        <v>19.625</v>
      </c>
      <c r="T10" s="9">
        <v>0.5615</v>
      </c>
      <c r="U10" s="9">
        <f t="shared" si="3"/>
        <v>56.15</v>
      </c>
      <c r="V10" s="29" t="s">
        <v>221</v>
      </c>
    </row>
    <row r="11" spans="1:22" ht="15.75" thickBot="1" x14ac:dyDescent="0.3">
      <c r="A11" s="75">
        <v>9</v>
      </c>
      <c r="B11" s="107"/>
      <c r="C11" s="96" t="s">
        <v>268</v>
      </c>
      <c r="D11" s="57" t="s">
        <v>33</v>
      </c>
      <c r="E11" s="6" t="s">
        <v>28</v>
      </c>
      <c r="F11" s="6" t="s">
        <v>34</v>
      </c>
      <c r="G11" s="6" t="s">
        <v>212</v>
      </c>
      <c r="H11" s="15" t="s">
        <v>267</v>
      </c>
      <c r="I11" s="6" t="s">
        <v>10</v>
      </c>
      <c r="J11" s="7">
        <v>1</v>
      </c>
      <c r="K11" s="5">
        <f t="shared" si="4"/>
        <v>5</v>
      </c>
      <c r="L11" s="5">
        <f t="shared" si="5"/>
        <v>25</v>
      </c>
      <c r="M11" s="5">
        <f t="shared" si="6"/>
        <v>100</v>
      </c>
      <c r="N11" s="8">
        <v>0.12</v>
      </c>
      <c r="O11" s="9">
        <f t="shared" si="0"/>
        <v>0.12</v>
      </c>
      <c r="P11" s="8">
        <v>0.12</v>
      </c>
      <c r="Q11" s="9">
        <f t="shared" si="1"/>
        <v>0.6</v>
      </c>
      <c r="R11" s="9">
        <v>8.4000000000000005E-2</v>
      </c>
      <c r="S11" s="9">
        <f t="shared" si="2"/>
        <v>2.1</v>
      </c>
      <c r="T11" s="9">
        <v>3.9399999999999998E-2</v>
      </c>
      <c r="U11" s="9">
        <f t="shared" si="3"/>
        <v>3.94</v>
      </c>
      <c r="V11" s="29"/>
    </row>
    <row r="12" spans="1:22" ht="15.75" thickBot="1" x14ac:dyDescent="0.3">
      <c r="A12" s="75">
        <v>10</v>
      </c>
      <c r="B12" s="107"/>
      <c r="C12" s="96" t="s">
        <v>271</v>
      </c>
      <c r="D12" s="57" t="s">
        <v>36</v>
      </c>
      <c r="E12" s="6" t="s">
        <v>28</v>
      </c>
      <c r="F12" s="6" t="s">
        <v>37</v>
      </c>
      <c r="G12" s="6" t="s">
        <v>227</v>
      </c>
      <c r="H12" s="16" t="s">
        <v>235</v>
      </c>
      <c r="I12" s="6" t="s">
        <v>35</v>
      </c>
      <c r="J12" s="7">
        <v>5</v>
      </c>
      <c r="K12" s="5">
        <f t="shared" si="4"/>
        <v>25</v>
      </c>
      <c r="L12" s="5">
        <f t="shared" si="5"/>
        <v>125</v>
      </c>
      <c r="M12" s="5">
        <f t="shared" si="6"/>
        <v>500</v>
      </c>
      <c r="N12" s="8">
        <v>0.21</v>
      </c>
      <c r="O12" s="9">
        <f t="shared" si="0"/>
        <v>1.05</v>
      </c>
      <c r="P12" s="8">
        <v>0.14299999999999999</v>
      </c>
      <c r="Q12" s="9">
        <f t="shared" si="1"/>
        <v>3.5749999999999997</v>
      </c>
      <c r="R12" s="9">
        <v>7.2400000000000006E-2</v>
      </c>
      <c r="S12" s="9">
        <f t="shared" si="2"/>
        <v>9.0500000000000007</v>
      </c>
      <c r="T12" s="9">
        <v>4.9520000000000002E-2</v>
      </c>
      <c r="U12" s="9">
        <f t="shared" si="3"/>
        <v>24.76</v>
      </c>
      <c r="V12" s="29"/>
    </row>
    <row r="13" spans="1:22" ht="15.75" thickBot="1" x14ac:dyDescent="0.3">
      <c r="A13" s="75">
        <v>11</v>
      </c>
      <c r="B13" s="107"/>
      <c r="C13" s="97" t="s">
        <v>39</v>
      </c>
      <c r="D13" s="57" t="s">
        <v>40</v>
      </c>
      <c r="E13" s="6" t="s">
        <v>8</v>
      </c>
      <c r="F13" s="6" t="s">
        <v>41</v>
      </c>
      <c r="G13" s="6" t="s">
        <v>223</v>
      </c>
      <c r="H13" s="16" t="s">
        <v>236</v>
      </c>
      <c r="I13" s="6" t="s">
        <v>38</v>
      </c>
      <c r="J13" s="7">
        <v>2</v>
      </c>
      <c r="K13" s="5">
        <f t="shared" si="4"/>
        <v>10</v>
      </c>
      <c r="L13" s="5">
        <f t="shared" si="5"/>
        <v>50</v>
      </c>
      <c r="M13" s="5">
        <f t="shared" si="6"/>
        <v>200</v>
      </c>
      <c r="N13" s="8">
        <v>0.31</v>
      </c>
      <c r="O13" s="9">
        <f t="shared" si="0"/>
        <v>0.62</v>
      </c>
      <c r="P13" s="8">
        <v>0.14299999999999999</v>
      </c>
      <c r="Q13" s="9">
        <f t="shared" si="1"/>
        <v>1.43</v>
      </c>
      <c r="R13" s="9">
        <v>0.1416</v>
      </c>
      <c r="S13" s="9">
        <f t="shared" si="2"/>
        <v>7.08</v>
      </c>
      <c r="T13" s="9">
        <v>0.12039999999999999</v>
      </c>
      <c r="U13" s="9">
        <f t="shared" si="3"/>
        <v>24.08</v>
      </c>
      <c r="V13" s="29"/>
    </row>
    <row r="14" spans="1:22" ht="15.75" thickBot="1" x14ac:dyDescent="0.3">
      <c r="A14" s="75">
        <v>12</v>
      </c>
      <c r="B14" s="107"/>
      <c r="C14" s="97" t="s">
        <v>294</v>
      </c>
      <c r="D14" s="57" t="s">
        <v>42</v>
      </c>
      <c r="E14" s="6" t="s">
        <v>28</v>
      </c>
      <c r="F14" s="6" t="s">
        <v>293</v>
      </c>
      <c r="G14" s="6" t="s">
        <v>212</v>
      </c>
      <c r="H14" s="15" t="s">
        <v>267</v>
      </c>
      <c r="I14" s="6" t="s">
        <v>6</v>
      </c>
      <c r="J14" s="7">
        <v>2</v>
      </c>
      <c r="K14" s="5">
        <f t="shared" si="4"/>
        <v>10</v>
      </c>
      <c r="L14" s="5">
        <f t="shared" si="5"/>
        <v>50</v>
      </c>
      <c r="M14" s="5">
        <f t="shared" si="6"/>
        <v>200</v>
      </c>
      <c r="N14" s="8">
        <v>0.19</v>
      </c>
      <c r="O14" s="9">
        <f t="shared" si="0"/>
        <v>0.38</v>
      </c>
      <c r="P14" s="8">
        <v>0.13500000000000001</v>
      </c>
      <c r="Q14" s="9">
        <f t="shared" si="1"/>
        <v>1.35</v>
      </c>
      <c r="R14" s="9">
        <v>7.6799999999999993E-2</v>
      </c>
      <c r="S14" s="9">
        <f t="shared" si="2"/>
        <v>3.84</v>
      </c>
      <c r="T14" s="9">
        <v>6.3700000000000007E-2</v>
      </c>
      <c r="U14" s="9">
        <f t="shared" si="3"/>
        <v>12.740000000000002</v>
      </c>
      <c r="V14" s="29"/>
    </row>
    <row r="15" spans="1:22" ht="26.25" thickBot="1" x14ac:dyDescent="0.3">
      <c r="A15" s="75">
        <v>13</v>
      </c>
      <c r="B15" s="107"/>
      <c r="C15" s="97" t="s">
        <v>255</v>
      </c>
      <c r="D15" s="58" t="s">
        <v>252</v>
      </c>
      <c r="E15" s="6" t="s">
        <v>13</v>
      </c>
      <c r="F15" s="6" t="s">
        <v>256</v>
      </c>
      <c r="G15" s="6" t="s">
        <v>228</v>
      </c>
      <c r="H15" s="15" t="s">
        <v>267</v>
      </c>
      <c r="I15" s="6" t="s">
        <v>43</v>
      </c>
      <c r="J15" s="7">
        <v>4</v>
      </c>
      <c r="K15" s="5">
        <f t="shared" si="4"/>
        <v>20</v>
      </c>
      <c r="L15" s="5">
        <f t="shared" si="5"/>
        <v>100</v>
      </c>
      <c r="M15" s="5">
        <f t="shared" si="6"/>
        <v>400</v>
      </c>
      <c r="N15" s="8">
        <v>0.27</v>
      </c>
      <c r="O15" s="9">
        <f t="shared" si="0"/>
        <v>1.08</v>
      </c>
      <c r="P15" s="8">
        <v>0.185</v>
      </c>
      <c r="Q15" s="9">
        <f t="shared" si="1"/>
        <v>3.7</v>
      </c>
      <c r="R15" s="9">
        <v>0.1047</v>
      </c>
      <c r="S15" s="9">
        <f t="shared" si="2"/>
        <v>10.47</v>
      </c>
      <c r="T15" s="9">
        <v>0.1047</v>
      </c>
      <c r="U15" s="9">
        <f t="shared" si="3"/>
        <v>41.88</v>
      </c>
      <c r="V15" s="30"/>
    </row>
    <row r="16" spans="1:22" ht="15.75" thickBot="1" x14ac:dyDescent="0.3">
      <c r="A16" s="75">
        <v>14</v>
      </c>
      <c r="B16" s="107"/>
      <c r="C16" s="96" t="s">
        <v>248</v>
      </c>
      <c r="D16" s="59" t="s">
        <v>249</v>
      </c>
      <c r="E16" s="2" t="s">
        <v>250</v>
      </c>
      <c r="F16" s="2" t="s">
        <v>251</v>
      </c>
      <c r="G16" s="2" t="s">
        <v>226</v>
      </c>
      <c r="H16" s="15" t="s">
        <v>267</v>
      </c>
      <c r="I16" s="2" t="s">
        <v>43</v>
      </c>
      <c r="J16" s="3">
        <v>4</v>
      </c>
      <c r="K16" s="1">
        <f t="shared" si="4"/>
        <v>20</v>
      </c>
      <c r="L16" s="5">
        <f t="shared" si="5"/>
        <v>100</v>
      </c>
      <c r="M16" s="5">
        <f t="shared" si="6"/>
        <v>400</v>
      </c>
      <c r="N16" s="4">
        <v>0.21</v>
      </c>
      <c r="O16" s="9">
        <f t="shared" si="0"/>
        <v>0.84</v>
      </c>
      <c r="P16" s="4">
        <v>0.14899999999999999</v>
      </c>
      <c r="Q16" s="9">
        <f t="shared" si="1"/>
        <v>2.98</v>
      </c>
      <c r="R16" s="9">
        <v>6.9900000000000004E-2</v>
      </c>
      <c r="S16" s="9">
        <f t="shared" si="2"/>
        <v>6.99</v>
      </c>
      <c r="T16" s="9">
        <v>6.9900000000000004E-2</v>
      </c>
      <c r="U16" s="9">
        <f t="shared" si="3"/>
        <v>27.96</v>
      </c>
      <c r="V16" s="29"/>
    </row>
    <row r="17" spans="1:22" ht="15.75" thickBot="1" x14ac:dyDescent="0.3">
      <c r="A17" s="75">
        <v>15</v>
      </c>
      <c r="B17" s="107"/>
      <c r="C17" s="96" t="s">
        <v>272</v>
      </c>
      <c r="D17" s="57" t="s">
        <v>45</v>
      </c>
      <c r="E17" s="6" t="s">
        <v>28</v>
      </c>
      <c r="F17" s="6" t="s">
        <v>46</v>
      </c>
      <c r="G17" s="6" t="s">
        <v>224</v>
      </c>
      <c r="H17" s="15" t="s">
        <v>267</v>
      </c>
      <c r="I17" s="6" t="s">
        <v>44</v>
      </c>
      <c r="J17" s="7">
        <v>1</v>
      </c>
      <c r="K17" s="5">
        <f t="shared" si="4"/>
        <v>5</v>
      </c>
      <c r="L17" s="5">
        <f t="shared" si="5"/>
        <v>25</v>
      </c>
      <c r="M17" s="5">
        <f t="shared" si="6"/>
        <v>100</v>
      </c>
      <c r="N17" s="8">
        <v>0.11</v>
      </c>
      <c r="O17" s="9">
        <f t="shared" si="0"/>
        <v>0.11</v>
      </c>
      <c r="P17" s="8">
        <v>0.11</v>
      </c>
      <c r="Q17" s="9">
        <f t="shared" si="1"/>
        <v>0.55000000000000004</v>
      </c>
      <c r="R17" s="9">
        <v>7.5999999999999998E-2</v>
      </c>
      <c r="S17" s="9">
        <f t="shared" si="2"/>
        <v>1.9</v>
      </c>
      <c r="T17" s="9">
        <v>3.5900000000000001E-2</v>
      </c>
      <c r="U17" s="9">
        <f t="shared" si="3"/>
        <v>3.5900000000000003</v>
      </c>
      <c r="V17" s="29"/>
    </row>
    <row r="18" spans="1:22" ht="15.75" thickBot="1" x14ac:dyDescent="0.3">
      <c r="A18" s="75">
        <v>16</v>
      </c>
      <c r="B18" s="107"/>
      <c r="C18" s="97" t="s">
        <v>26</v>
      </c>
      <c r="D18" s="57" t="s">
        <v>48</v>
      </c>
      <c r="E18" s="6" t="s">
        <v>28</v>
      </c>
      <c r="F18" s="6" t="s">
        <v>29</v>
      </c>
      <c r="G18" s="6" t="s">
        <v>226</v>
      </c>
      <c r="H18" s="15" t="s">
        <v>267</v>
      </c>
      <c r="I18" s="6" t="s">
        <v>47</v>
      </c>
      <c r="J18" s="7">
        <v>1</v>
      </c>
      <c r="K18" s="5">
        <f t="shared" si="4"/>
        <v>5</v>
      </c>
      <c r="L18" s="5">
        <f t="shared" si="5"/>
        <v>25</v>
      </c>
      <c r="M18" s="5">
        <f t="shared" si="6"/>
        <v>100</v>
      </c>
      <c r="N18" s="8">
        <v>0.21</v>
      </c>
      <c r="O18" s="9">
        <f t="shared" si="0"/>
        <v>0.21</v>
      </c>
      <c r="P18" s="8">
        <v>0.21</v>
      </c>
      <c r="Q18" s="9">
        <f t="shared" si="1"/>
        <v>1.05</v>
      </c>
      <c r="R18" s="9">
        <v>0.14799999999999999</v>
      </c>
      <c r="S18" s="9">
        <f t="shared" si="2"/>
        <v>3.6999999999999997</v>
      </c>
      <c r="T18" s="9">
        <v>6.9500000000000006E-2</v>
      </c>
      <c r="U18" s="9">
        <f t="shared" si="3"/>
        <v>6.9500000000000011</v>
      </c>
      <c r="V18" s="31" t="s">
        <v>273</v>
      </c>
    </row>
    <row r="19" spans="1:22" ht="15.75" thickBot="1" x14ac:dyDescent="0.3">
      <c r="A19" s="75">
        <v>17</v>
      </c>
      <c r="B19" s="108"/>
      <c r="C19" s="98" t="s">
        <v>50</v>
      </c>
      <c r="D19" s="60" t="s">
        <v>51</v>
      </c>
      <c r="E19" s="32" t="s">
        <v>52</v>
      </c>
      <c r="F19" s="32" t="s">
        <v>53</v>
      </c>
      <c r="G19" s="32" t="s">
        <v>226</v>
      </c>
      <c r="H19" s="34" t="s">
        <v>275</v>
      </c>
      <c r="I19" s="32" t="s">
        <v>49</v>
      </c>
      <c r="J19" s="35">
        <v>4</v>
      </c>
      <c r="K19" s="36">
        <f t="shared" si="4"/>
        <v>20</v>
      </c>
      <c r="L19" s="36">
        <f t="shared" si="5"/>
        <v>100</v>
      </c>
      <c r="M19" s="36">
        <f t="shared" si="6"/>
        <v>400</v>
      </c>
      <c r="N19" s="37">
        <v>0.1</v>
      </c>
      <c r="O19" s="38">
        <f t="shared" si="0"/>
        <v>0.4</v>
      </c>
      <c r="P19" s="37">
        <v>6.3E-2</v>
      </c>
      <c r="Q19" s="38">
        <f t="shared" si="1"/>
        <v>1.26</v>
      </c>
      <c r="R19" s="38">
        <v>2.8199999999999999E-2</v>
      </c>
      <c r="S19" s="38">
        <f t="shared" si="2"/>
        <v>2.82</v>
      </c>
      <c r="T19" s="38">
        <v>2.8199999999999999E-2</v>
      </c>
      <c r="U19" s="38">
        <f t="shared" si="3"/>
        <v>11.28</v>
      </c>
      <c r="V19" s="39"/>
    </row>
    <row r="20" spans="1:22" ht="15.75" thickBot="1" x14ac:dyDescent="0.3">
      <c r="A20" s="75">
        <v>18</v>
      </c>
      <c r="B20" s="106" t="s">
        <v>202</v>
      </c>
      <c r="C20" s="95" t="s">
        <v>277</v>
      </c>
      <c r="D20" s="61" t="s">
        <v>55</v>
      </c>
      <c r="E20" s="22" t="s">
        <v>276</v>
      </c>
      <c r="F20" s="22" t="s">
        <v>54</v>
      </c>
      <c r="G20" s="22" t="s">
        <v>223</v>
      </c>
      <c r="H20" s="48" t="s">
        <v>237</v>
      </c>
      <c r="I20" s="22" t="s">
        <v>278</v>
      </c>
      <c r="J20" s="24">
        <v>1</v>
      </c>
      <c r="K20" s="25">
        <f t="shared" si="4"/>
        <v>5</v>
      </c>
      <c r="L20" s="25">
        <f t="shared" si="5"/>
        <v>25</v>
      </c>
      <c r="M20" s="25">
        <f t="shared" si="6"/>
        <v>100</v>
      </c>
      <c r="N20" s="49">
        <v>0.75</v>
      </c>
      <c r="O20" s="27">
        <f t="shared" si="0"/>
        <v>0.75</v>
      </c>
      <c r="P20" s="49">
        <v>0.75</v>
      </c>
      <c r="Q20" s="27">
        <f t="shared" si="1"/>
        <v>3.75</v>
      </c>
      <c r="R20" s="27">
        <v>0.66100000000000003</v>
      </c>
      <c r="S20" s="27">
        <f t="shared" si="2"/>
        <v>16.525000000000002</v>
      </c>
      <c r="T20" s="27">
        <v>0.50649999999999995</v>
      </c>
      <c r="U20" s="27">
        <f t="shared" si="3"/>
        <v>50.649999999999991</v>
      </c>
      <c r="V20" s="50" t="s">
        <v>274</v>
      </c>
    </row>
    <row r="21" spans="1:22" ht="26.25" thickBot="1" x14ac:dyDescent="0.3">
      <c r="A21" s="75">
        <v>19</v>
      </c>
      <c r="B21" s="107"/>
      <c r="C21" s="97" t="s">
        <v>57</v>
      </c>
      <c r="D21" s="57" t="s">
        <v>58</v>
      </c>
      <c r="E21" s="6" t="s">
        <v>59</v>
      </c>
      <c r="F21" s="6" t="s">
        <v>56</v>
      </c>
      <c r="G21" s="6" t="s">
        <v>229</v>
      </c>
      <c r="H21" s="17" t="s">
        <v>238</v>
      </c>
      <c r="I21" s="6" t="s">
        <v>278</v>
      </c>
      <c r="J21" s="7">
        <v>8</v>
      </c>
      <c r="K21" s="5">
        <f t="shared" si="4"/>
        <v>40</v>
      </c>
      <c r="L21" s="5">
        <f t="shared" si="5"/>
        <v>200</v>
      </c>
      <c r="M21" s="5">
        <f t="shared" si="6"/>
        <v>800</v>
      </c>
      <c r="N21" s="4">
        <v>0.42</v>
      </c>
      <c r="O21" s="9">
        <f t="shared" si="0"/>
        <v>3.36</v>
      </c>
      <c r="P21" s="4">
        <v>0.313</v>
      </c>
      <c r="Q21" s="9">
        <f t="shared" si="1"/>
        <v>12.52</v>
      </c>
      <c r="R21" s="9">
        <v>0.1948</v>
      </c>
      <c r="S21" s="9">
        <f t="shared" si="2"/>
        <v>38.96</v>
      </c>
      <c r="T21" s="9">
        <v>0.13328000000000001</v>
      </c>
      <c r="U21" s="9">
        <f t="shared" si="3"/>
        <v>106.62400000000001</v>
      </c>
      <c r="V21" s="30" t="s">
        <v>274</v>
      </c>
    </row>
    <row r="22" spans="1:22" ht="15.75" thickBot="1" x14ac:dyDescent="0.3">
      <c r="A22" s="75">
        <v>20</v>
      </c>
      <c r="B22" s="107"/>
      <c r="C22" s="97" t="s">
        <v>77</v>
      </c>
      <c r="D22" s="57" t="s">
        <v>78</v>
      </c>
      <c r="E22" s="6" t="s">
        <v>257</v>
      </c>
      <c r="F22" s="6" t="s">
        <v>76</v>
      </c>
      <c r="G22" s="6" t="s">
        <v>230</v>
      </c>
      <c r="H22" s="17" t="s">
        <v>253</v>
      </c>
      <c r="I22" s="6" t="s">
        <v>278</v>
      </c>
      <c r="J22" s="7">
        <v>1</v>
      </c>
      <c r="K22" s="5">
        <f t="shared" si="4"/>
        <v>5</v>
      </c>
      <c r="L22" s="5">
        <f t="shared" si="5"/>
        <v>25</v>
      </c>
      <c r="M22" s="5">
        <f t="shared" si="6"/>
        <v>100</v>
      </c>
      <c r="N22" s="8">
        <v>0.5</v>
      </c>
      <c r="O22" s="9">
        <f t="shared" si="0"/>
        <v>0.5</v>
      </c>
      <c r="P22" s="8">
        <v>0.5</v>
      </c>
      <c r="Q22" s="9">
        <f t="shared" si="1"/>
        <v>2.5</v>
      </c>
      <c r="R22" s="9">
        <v>0.5</v>
      </c>
      <c r="S22" s="9">
        <f t="shared" si="2"/>
        <v>12.5</v>
      </c>
      <c r="T22" s="9">
        <v>0.5</v>
      </c>
      <c r="U22" s="9">
        <f t="shared" si="3"/>
        <v>50</v>
      </c>
      <c r="V22" s="29"/>
    </row>
    <row r="23" spans="1:22" ht="15.75" thickBot="1" x14ac:dyDescent="0.3">
      <c r="A23" s="75">
        <v>21</v>
      </c>
      <c r="B23" s="108"/>
      <c r="C23" s="98" t="s">
        <v>80</v>
      </c>
      <c r="D23" s="60" t="s">
        <v>81</v>
      </c>
      <c r="E23" s="32" t="s">
        <v>82</v>
      </c>
      <c r="F23" s="32" t="s">
        <v>79</v>
      </c>
      <c r="G23" s="32" t="s">
        <v>231</v>
      </c>
      <c r="H23" s="32" t="s">
        <v>267</v>
      </c>
      <c r="I23" s="32" t="s">
        <v>278</v>
      </c>
      <c r="J23" s="35">
        <v>1</v>
      </c>
      <c r="K23" s="36">
        <f t="shared" si="4"/>
        <v>5</v>
      </c>
      <c r="L23" s="36">
        <f t="shared" si="5"/>
        <v>25</v>
      </c>
      <c r="M23" s="36">
        <f t="shared" si="6"/>
        <v>100</v>
      </c>
      <c r="N23" s="51">
        <v>0.37</v>
      </c>
      <c r="O23" s="38">
        <f t="shared" si="0"/>
        <v>0.37</v>
      </c>
      <c r="P23" s="51">
        <v>0.37</v>
      </c>
      <c r="Q23" s="38">
        <f t="shared" si="1"/>
        <v>1.85</v>
      </c>
      <c r="R23" s="38">
        <v>0.29299999999999998</v>
      </c>
      <c r="S23" s="38">
        <f t="shared" si="2"/>
        <v>7.3249999999999993</v>
      </c>
      <c r="T23" s="38">
        <v>0.13139999999999999</v>
      </c>
      <c r="U23" s="38">
        <f t="shared" si="3"/>
        <v>13.139999999999999</v>
      </c>
      <c r="V23" s="52"/>
    </row>
    <row r="24" spans="1:22" ht="15.75" thickBot="1" x14ac:dyDescent="0.3">
      <c r="A24" s="75">
        <v>22</v>
      </c>
      <c r="B24" s="73" t="s">
        <v>203</v>
      </c>
      <c r="C24" s="99" t="s">
        <v>61</v>
      </c>
      <c r="D24" s="64" t="s">
        <v>62</v>
      </c>
      <c r="E24" s="65" t="s">
        <v>257</v>
      </c>
      <c r="F24" s="65" t="s">
        <v>60</v>
      </c>
      <c r="G24" s="66" t="s">
        <v>280</v>
      </c>
      <c r="H24" s="65" t="s">
        <v>267</v>
      </c>
      <c r="I24" s="65" t="s">
        <v>278</v>
      </c>
      <c r="J24" s="67">
        <v>1</v>
      </c>
      <c r="K24" s="68">
        <f t="shared" si="4"/>
        <v>5</v>
      </c>
      <c r="L24" s="68">
        <f t="shared" si="5"/>
        <v>25</v>
      </c>
      <c r="M24" s="68">
        <f t="shared" si="6"/>
        <v>100</v>
      </c>
      <c r="N24" s="69">
        <v>0.28999999999999998</v>
      </c>
      <c r="O24" s="70">
        <f t="shared" si="0"/>
        <v>0.28999999999999998</v>
      </c>
      <c r="P24" s="69">
        <v>0.28999999999999998</v>
      </c>
      <c r="Q24" s="70">
        <f t="shared" si="1"/>
        <v>1.45</v>
      </c>
      <c r="R24" s="70">
        <v>0.26600000000000001</v>
      </c>
      <c r="S24" s="70">
        <f t="shared" si="2"/>
        <v>6.65</v>
      </c>
      <c r="T24" s="70">
        <v>0.22140000000000001</v>
      </c>
      <c r="U24" s="70">
        <f t="shared" si="3"/>
        <v>22.14</v>
      </c>
      <c r="V24" s="71" t="s">
        <v>273</v>
      </c>
    </row>
    <row r="25" spans="1:22" ht="15.75" thickBot="1" x14ac:dyDescent="0.3">
      <c r="A25" s="75">
        <v>23</v>
      </c>
      <c r="B25" s="74" t="s">
        <v>205</v>
      </c>
      <c r="C25" s="100" t="s">
        <v>74</v>
      </c>
      <c r="D25" s="62" t="s">
        <v>75</v>
      </c>
      <c r="E25" s="41" t="s">
        <v>257</v>
      </c>
      <c r="F25" s="41" t="s">
        <v>73</v>
      </c>
      <c r="G25" s="42" t="s">
        <v>281</v>
      </c>
      <c r="H25" s="41" t="s">
        <v>267</v>
      </c>
      <c r="I25" s="41" t="s">
        <v>278</v>
      </c>
      <c r="J25" s="43">
        <v>1</v>
      </c>
      <c r="K25" s="44">
        <f t="shared" si="4"/>
        <v>5</v>
      </c>
      <c r="L25" s="44">
        <f t="shared" si="5"/>
        <v>25</v>
      </c>
      <c r="M25" s="44">
        <f t="shared" si="6"/>
        <v>100</v>
      </c>
      <c r="N25" s="45">
        <v>2.75</v>
      </c>
      <c r="O25" s="46">
        <f t="shared" si="0"/>
        <v>2.75</v>
      </c>
      <c r="P25" s="45">
        <v>2.75</v>
      </c>
      <c r="Q25" s="46">
        <f t="shared" si="1"/>
        <v>13.75</v>
      </c>
      <c r="R25" s="46">
        <v>2.3292000000000002</v>
      </c>
      <c r="S25" s="46">
        <f t="shared" si="2"/>
        <v>58.230000000000004</v>
      </c>
      <c r="T25" s="46">
        <v>1.7786999999999999</v>
      </c>
      <c r="U25" s="46">
        <f t="shared" si="3"/>
        <v>177.87</v>
      </c>
      <c r="V25" s="72"/>
    </row>
    <row r="26" spans="1:22" ht="26.25" thickBot="1" x14ac:dyDescent="0.3">
      <c r="A26" s="75">
        <v>24</v>
      </c>
      <c r="B26" s="74" t="s">
        <v>204</v>
      </c>
      <c r="C26" s="100" t="s">
        <v>93</v>
      </c>
      <c r="D26" s="62" t="s">
        <v>94</v>
      </c>
      <c r="E26" s="41" t="s">
        <v>95</v>
      </c>
      <c r="F26" s="41" t="s">
        <v>92</v>
      </c>
      <c r="G26" s="42" t="s">
        <v>282</v>
      </c>
      <c r="H26" s="41" t="s">
        <v>267</v>
      </c>
      <c r="I26" s="41" t="s">
        <v>278</v>
      </c>
      <c r="J26" s="43">
        <v>8</v>
      </c>
      <c r="K26" s="44">
        <f t="shared" si="4"/>
        <v>40</v>
      </c>
      <c r="L26" s="44">
        <f t="shared" si="5"/>
        <v>200</v>
      </c>
      <c r="M26" s="44">
        <f t="shared" si="6"/>
        <v>800</v>
      </c>
      <c r="N26" s="45">
        <v>1.89</v>
      </c>
      <c r="O26" s="46">
        <f t="shared" si="0"/>
        <v>15.12</v>
      </c>
      <c r="P26" s="45">
        <v>1.6040000000000001</v>
      </c>
      <c r="Q26" s="46">
        <f t="shared" si="1"/>
        <v>64.16</v>
      </c>
      <c r="R26" s="46">
        <v>1.3667</v>
      </c>
      <c r="S26" s="46">
        <f t="shared" si="2"/>
        <v>273.34000000000003</v>
      </c>
      <c r="T26" s="46">
        <v>1.1228800000000001</v>
      </c>
      <c r="U26" s="46">
        <f t="shared" si="3"/>
        <v>898.30400000000009</v>
      </c>
      <c r="V26" s="47" t="s">
        <v>273</v>
      </c>
    </row>
    <row r="27" spans="1:22" ht="15.75" thickBot="1" x14ac:dyDescent="0.3">
      <c r="A27" s="75">
        <v>25</v>
      </c>
      <c r="B27" s="106" t="s">
        <v>206</v>
      </c>
      <c r="C27" s="101" t="s">
        <v>97</v>
      </c>
      <c r="D27" s="61" t="s">
        <v>98</v>
      </c>
      <c r="E27" s="22" t="s">
        <v>52</v>
      </c>
      <c r="F27" s="22" t="s">
        <v>99</v>
      </c>
      <c r="G27" s="22" t="s">
        <v>212</v>
      </c>
      <c r="H27" s="22" t="s">
        <v>267</v>
      </c>
      <c r="I27" s="22" t="s">
        <v>96</v>
      </c>
      <c r="J27" s="24">
        <v>2</v>
      </c>
      <c r="K27" s="25">
        <f t="shared" si="4"/>
        <v>10</v>
      </c>
      <c r="L27" s="25">
        <f t="shared" si="5"/>
        <v>50</v>
      </c>
      <c r="M27" s="25">
        <f t="shared" si="6"/>
        <v>200</v>
      </c>
      <c r="N27" s="49">
        <v>0.1</v>
      </c>
      <c r="O27" s="27">
        <f t="shared" si="0"/>
        <v>0.2</v>
      </c>
      <c r="P27" s="49">
        <v>0.02</v>
      </c>
      <c r="Q27" s="27">
        <f t="shared" si="1"/>
        <v>0.2</v>
      </c>
      <c r="R27" s="27">
        <v>0.02</v>
      </c>
      <c r="S27" s="27">
        <f t="shared" si="2"/>
        <v>1</v>
      </c>
      <c r="T27" s="27">
        <v>8.0000000000000002E-3</v>
      </c>
      <c r="U27" s="27">
        <f t="shared" si="3"/>
        <v>1.6</v>
      </c>
      <c r="V27" s="55" t="s">
        <v>273</v>
      </c>
    </row>
    <row r="28" spans="1:22" ht="15.75" thickBot="1" x14ac:dyDescent="0.3">
      <c r="A28" s="75">
        <v>26</v>
      </c>
      <c r="B28" s="107"/>
      <c r="C28" s="97" t="s">
        <v>101</v>
      </c>
      <c r="D28" s="57" t="s">
        <v>102</v>
      </c>
      <c r="E28" s="6" t="s">
        <v>52</v>
      </c>
      <c r="F28" s="6" t="s">
        <v>103</v>
      </c>
      <c r="G28" s="6" t="s">
        <v>212</v>
      </c>
      <c r="H28" s="20" t="s">
        <v>267</v>
      </c>
      <c r="I28" s="6" t="s">
        <v>100</v>
      </c>
      <c r="J28" s="7">
        <v>2</v>
      </c>
      <c r="K28" s="5">
        <f t="shared" si="4"/>
        <v>10</v>
      </c>
      <c r="L28" s="5">
        <f t="shared" si="5"/>
        <v>50</v>
      </c>
      <c r="M28" s="5">
        <f t="shared" si="6"/>
        <v>200</v>
      </c>
      <c r="N28" s="4">
        <v>0.1</v>
      </c>
      <c r="O28" s="9">
        <f t="shared" si="0"/>
        <v>0.2</v>
      </c>
      <c r="P28" s="4">
        <v>1.7999999999999999E-2</v>
      </c>
      <c r="Q28" s="9">
        <f t="shared" si="1"/>
        <v>0.18</v>
      </c>
      <c r="R28" s="9">
        <v>9.7999999999999997E-3</v>
      </c>
      <c r="S28" s="9">
        <f t="shared" si="2"/>
        <v>0.49</v>
      </c>
      <c r="T28" s="9">
        <v>7.3000000000000001E-3</v>
      </c>
      <c r="U28" s="9">
        <f t="shared" si="3"/>
        <v>1.46</v>
      </c>
      <c r="V28" s="29"/>
    </row>
    <row r="29" spans="1:22" ht="15.75" thickBot="1" x14ac:dyDescent="0.3">
      <c r="A29" s="75">
        <v>27</v>
      </c>
      <c r="B29" s="107"/>
      <c r="C29" s="97" t="s">
        <v>105</v>
      </c>
      <c r="D29" s="57" t="s">
        <v>106</v>
      </c>
      <c r="E29" s="6" t="s">
        <v>52</v>
      </c>
      <c r="F29" s="6" t="s">
        <v>107</v>
      </c>
      <c r="G29" s="6" t="s">
        <v>212</v>
      </c>
      <c r="H29" s="20" t="s">
        <v>267</v>
      </c>
      <c r="I29" s="6" t="s">
        <v>104</v>
      </c>
      <c r="J29" s="7">
        <v>1</v>
      </c>
      <c r="K29" s="5">
        <f t="shared" si="4"/>
        <v>5</v>
      </c>
      <c r="L29" s="5">
        <f t="shared" si="5"/>
        <v>25</v>
      </c>
      <c r="M29" s="5">
        <f t="shared" si="6"/>
        <v>100</v>
      </c>
      <c r="N29" s="4">
        <v>0.1</v>
      </c>
      <c r="O29" s="9">
        <f t="shared" si="0"/>
        <v>0.1</v>
      </c>
      <c r="P29" s="4">
        <v>0.1</v>
      </c>
      <c r="Q29" s="9">
        <f t="shared" si="1"/>
        <v>0.5</v>
      </c>
      <c r="R29" s="9">
        <v>2.4E-2</v>
      </c>
      <c r="S29" s="9">
        <f t="shared" si="2"/>
        <v>0.6</v>
      </c>
      <c r="T29" s="9">
        <v>9.7000000000000003E-3</v>
      </c>
      <c r="U29" s="9">
        <f t="shared" si="3"/>
        <v>0.97</v>
      </c>
      <c r="V29" s="31" t="s">
        <v>273</v>
      </c>
    </row>
    <row r="30" spans="1:22" ht="15.75" thickBot="1" x14ac:dyDescent="0.3">
      <c r="A30" s="75">
        <v>28</v>
      </c>
      <c r="B30" s="107"/>
      <c r="C30" s="96" t="s">
        <v>283</v>
      </c>
      <c r="D30" s="57" t="s">
        <v>109</v>
      </c>
      <c r="E30" s="6" t="s">
        <v>52</v>
      </c>
      <c r="F30" s="6" t="s">
        <v>110</v>
      </c>
      <c r="G30" s="6" t="s">
        <v>212</v>
      </c>
      <c r="H30" s="20" t="s">
        <v>267</v>
      </c>
      <c r="I30" s="6" t="s">
        <v>108</v>
      </c>
      <c r="J30" s="7">
        <v>1</v>
      </c>
      <c r="K30" s="5">
        <f t="shared" si="4"/>
        <v>5</v>
      </c>
      <c r="L30" s="5">
        <f t="shared" si="5"/>
        <v>25</v>
      </c>
      <c r="M30" s="5">
        <f t="shared" si="6"/>
        <v>100</v>
      </c>
      <c r="N30" s="8">
        <v>0.1</v>
      </c>
      <c r="O30" s="9">
        <f t="shared" si="0"/>
        <v>0.1</v>
      </c>
      <c r="P30" s="8">
        <v>0.1</v>
      </c>
      <c r="Q30" s="9">
        <f t="shared" si="1"/>
        <v>0.5</v>
      </c>
      <c r="R30" s="9">
        <v>0.02</v>
      </c>
      <c r="S30" s="9">
        <f t="shared" si="2"/>
        <v>0.5</v>
      </c>
      <c r="T30" s="9">
        <v>8.0000000000000002E-3</v>
      </c>
      <c r="U30" s="9">
        <f t="shared" si="3"/>
        <v>0.8</v>
      </c>
      <c r="V30" s="40"/>
    </row>
    <row r="31" spans="1:22" ht="15.75" thickBot="1" x14ac:dyDescent="0.3">
      <c r="A31" s="75">
        <v>29</v>
      </c>
      <c r="B31" s="107"/>
      <c r="C31" s="97" t="s">
        <v>112</v>
      </c>
      <c r="D31" s="57" t="s">
        <v>113</v>
      </c>
      <c r="E31" s="6" t="s">
        <v>52</v>
      </c>
      <c r="F31" s="6" t="s">
        <v>114</v>
      </c>
      <c r="G31" s="6" t="s">
        <v>212</v>
      </c>
      <c r="H31" s="20" t="s">
        <v>267</v>
      </c>
      <c r="I31" s="6" t="s">
        <v>111</v>
      </c>
      <c r="J31" s="7">
        <v>4</v>
      </c>
      <c r="K31" s="5">
        <f t="shared" si="4"/>
        <v>20</v>
      </c>
      <c r="L31" s="5">
        <f t="shared" si="5"/>
        <v>100</v>
      </c>
      <c r="M31" s="5">
        <f t="shared" si="6"/>
        <v>400</v>
      </c>
      <c r="N31" s="8">
        <v>0.1</v>
      </c>
      <c r="O31" s="9">
        <f t="shared" si="0"/>
        <v>0.4</v>
      </c>
      <c r="P31" s="8">
        <v>2.4E-2</v>
      </c>
      <c r="Q31" s="9">
        <f t="shared" si="1"/>
        <v>0.48</v>
      </c>
      <c r="R31" s="9">
        <v>9.7000000000000003E-3</v>
      </c>
      <c r="S31" s="9">
        <f t="shared" si="2"/>
        <v>0.97</v>
      </c>
      <c r="T31" s="9">
        <v>9.7000000000000003E-3</v>
      </c>
      <c r="U31" s="9">
        <f t="shared" si="3"/>
        <v>3.88</v>
      </c>
      <c r="V31" s="29"/>
    </row>
    <row r="32" spans="1:22" ht="15.75" thickBot="1" x14ac:dyDescent="0.3">
      <c r="A32" s="75">
        <v>30</v>
      </c>
      <c r="B32" s="107"/>
      <c r="C32" s="96" t="s">
        <v>284</v>
      </c>
      <c r="D32" s="57" t="s">
        <v>116</v>
      </c>
      <c r="E32" s="6" t="s">
        <v>117</v>
      </c>
      <c r="F32" s="6" t="s">
        <v>118</v>
      </c>
      <c r="G32" s="5" t="s">
        <v>210</v>
      </c>
      <c r="H32" s="5" t="s">
        <v>211</v>
      </c>
      <c r="I32" s="6" t="s">
        <v>115</v>
      </c>
      <c r="J32" s="7">
        <v>4</v>
      </c>
      <c r="K32" s="5">
        <f t="shared" si="4"/>
        <v>20</v>
      </c>
      <c r="L32" s="5">
        <f t="shared" si="5"/>
        <v>100</v>
      </c>
      <c r="M32" s="5">
        <f t="shared" si="6"/>
        <v>400</v>
      </c>
      <c r="N32" s="8">
        <v>1.2</v>
      </c>
      <c r="O32" s="9">
        <f t="shared" si="0"/>
        <v>4.8</v>
      </c>
      <c r="P32" s="8">
        <v>1.0589999999999999</v>
      </c>
      <c r="Q32" s="9">
        <f t="shared" si="1"/>
        <v>21.18</v>
      </c>
      <c r="R32" s="9">
        <v>0.76849999999999996</v>
      </c>
      <c r="S32" s="9">
        <f t="shared" si="2"/>
        <v>76.849999999999994</v>
      </c>
      <c r="T32" s="9">
        <v>0.64895999999999998</v>
      </c>
      <c r="U32" s="9">
        <f t="shared" si="3"/>
        <v>259.584</v>
      </c>
      <c r="V32" s="29"/>
    </row>
    <row r="33" spans="1:22" ht="26.25" thickBot="1" x14ac:dyDescent="0.3">
      <c r="A33" s="75">
        <v>31</v>
      </c>
      <c r="B33" s="107"/>
      <c r="C33" s="97" t="s">
        <v>120</v>
      </c>
      <c r="D33" s="57" t="s">
        <v>121</v>
      </c>
      <c r="E33" s="6" t="s">
        <v>52</v>
      </c>
      <c r="F33" s="6" t="s">
        <v>122</v>
      </c>
      <c r="G33" s="5" t="s">
        <v>212</v>
      </c>
      <c r="H33" s="53" t="s">
        <v>267</v>
      </c>
      <c r="I33" s="6" t="s">
        <v>119</v>
      </c>
      <c r="J33" s="7">
        <v>8</v>
      </c>
      <c r="K33" s="5">
        <f t="shared" si="4"/>
        <v>40</v>
      </c>
      <c r="L33" s="5">
        <f t="shared" si="5"/>
        <v>200</v>
      </c>
      <c r="M33" s="5">
        <f t="shared" si="6"/>
        <v>800</v>
      </c>
      <c r="N33" s="8">
        <v>0.1</v>
      </c>
      <c r="O33" s="9">
        <f t="shared" si="0"/>
        <v>0.8</v>
      </c>
      <c r="P33" s="8">
        <v>2.4E-2</v>
      </c>
      <c r="Q33" s="9">
        <f t="shared" si="1"/>
        <v>0.96</v>
      </c>
      <c r="R33" s="9">
        <v>9.7000000000000003E-3</v>
      </c>
      <c r="S33" s="9">
        <f t="shared" si="2"/>
        <v>1.94</v>
      </c>
      <c r="T33" s="9">
        <v>9.7000000000000003E-3</v>
      </c>
      <c r="U33" s="9">
        <f t="shared" si="3"/>
        <v>7.76</v>
      </c>
      <c r="V33" s="29"/>
    </row>
    <row r="34" spans="1:22" ht="15.75" thickBot="1" x14ac:dyDescent="0.3">
      <c r="A34" s="75">
        <v>32</v>
      </c>
      <c r="B34" s="107"/>
      <c r="C34" s="97" t="s">
        <v>124</v>
      </c>
      <c r="D34" s="57" t="s">
        <v>125</v>
      </c>
      <c r="E34" s="6" t="s">
        <v>52</v>
      </c>
      <c r="F34" s="6" t="s">
        <v>126</v>
      </c>
      <c r="G34" s="5" t="s">
        <v>212</v>
      </c>
      <c r="H34" s="5" t="s">
        <v>214</v>
      </c>
      <c r="I34" s="6" t="s">
        <v>123</v>
      </c>
      <c r="J34" s="7">
        <v>1</v>
      </c>
      <c r="K34" s="5">
        <f t="shared" si="4"/>
        <v>5</v>
      </c>
      <c r="L34" s="5">
        <f t="shared" si="5"/>
        <v>25</v>
      </c>
      <c r="M34" s="5">
        <f t="shared" si="6"/>
        <v>100</v>
      </c>
      <c r="N34" s="8">
        <v>0.1</v>
      </c>
      <c r="O34" s="9">
        <f t="shared" si="0"/>
        <v>0.1</v>
      </c>
      <c r="P34" s="8">
        <v>0.1</v>
      </c>
      <c r="Q34" s="9">
        <f t="shared" si="1"/>
        <v>0.5</v>
      </c>
      <c r="R34" s="9">
        <v>2.9000000000000001E-2</v>
      </c>
      <c r="S34" s="9">
        <f t="shared" si="2"/>
        <v>0.72500000000000009</v>
      </c>
      <c r="T34" s="9">
        <v>1.17E-2</v>
      </c>
      <c r="U34" s="9">
        <f t="shared" si="3"/>
        <v>1.17</v>
      </c>
      <c r="V34" s="29"/>
    </row>
    <row r="35" spans="1:22" ht="15.75" thickBot="1" x14ac:dyDescent="0.3">
      <c r="A35" s="75">
        <v>33</v>
      </c>
      <c r="B35" s="107"/>
      <c r="C35" s="97" t="s">
        <v>128</v>
      </c>
      <c r="D35" s="57" t="s">
        <v>129</v>
      </c>
      <c r="E35" s="6" t="s">
        <v>52</v>
      </c>
      <c r="F35" s="6" t="s">
        <v>130</v>
      </c>
      <c r="G35" s="5" t="s">
        <v>212</v>
      </c>
      <c r="H35" s="53" t="s">
        <v>267</v>
      </c>
      <c r="I35" s="6" t="s">
        <v>127</v>
      </c>
      <c r="J35" s="7">
        <v>1</v>
      </c>
      <c r="K35" s="5">
        <f t="shared" si="4"/>
        <v>5</v>
      </c>
      <c r="L35" s="5">
        <f t="shared" si="5"/>
        <v>25</v>
      </c>
      <c r="M35" s="5">
        <f t="shared" si="6"/>
        <v>100</v>
      </c>
      <c r="N35" s="8">
        <v>0.1</v>
      </c>
      <c r="O35" s="9">
        <f t="shared" ref="O35:O57" si="7">N35*J35</f>
        <v>0.1</v>
      </c>
      <c r="P35" s="8">
        <v>0.1</v>
      </c>
      <c r="Q35" s="9">
        <f t="shared" si="1"/>
        <v>0.5</v>
      </c>
      <c r="R35" s="9">
        <v>2.4E-2</v>
      </c>
      <c r="S35" s="9">
        <f t="shared" ref="S35:S57" si="8">R35*L35</f>
        <v>0.6</v>
      </c>
      <c r="T35" s="9">
        <v>9.7000000000000003E-3</v>
      </c>
      <c r="U35" s="9">
        <f t="shared" ref="U35:U57" si="9">T35*M35</f>
        <v>0.97</v>
      </c>
      <c r="V35" s="29"/>
    </row>
    <row r="36" spans="1:22" ht="15.75" thickBot="1" x14ac:dyDescent="0.3">
      <c r="A36" s="75">
        <v>34</v>
      </c>
      <c r="B36" s="107"/>
      <c r="C36" s="97" t="s">
        <v>132</v>
      </c>
      <c r="D36" s="57" t="s">
        <v>133</v>
      </c>
      <c r="E36" s="6" t="s">
        <v>52</v>
      </c>
      <c r="F36" s="6" t="s">
        <v>134</v>
      </c>
      <c r="G36" s="5" t="s">
        <v>213</v>
      </c>
      <c r="H36" s="53" t="s">
        <v>267</v>
      </c>
      <c r="I36" s="6" t="s">
        <v>131</v>
      </c>
      <c r="J36" s="7">
        <v>1</v>
      </c>
      <c r="K36" s="5">
        <f t="shared" si="4"/>
        <v>5</v>
      </c>
      <c r="L36" s="5">
        <f t="shared" si="5"/>
        <v>25</v>
      </c>
      <c r="M36" s="5">
        <f t="shared" si="6"/>
        <v>100</v>
      </c>
      <c r="N36" s="8">
        <v>0.1</v>
      </c>
      <c r="O36" s="9">
        <f t="shared" si="7"/>
        <v>0.1</v>
      </c>
      <c r="P36" s="8">
        <v>0.1</v>
      </c>
      <c r="Q36" s="9">
        <f t="shared" si="1"/>
        <v>0.5</v>
      </c>
      <c r="R36" s="9">
        <v>0.05</v>
      </c>
      <c r="S36" s="9">
        <f t="shared" si="8"/>
        <v>1.25</v>
      </c>
      <c r="T36" s="9">
        <v>2.0199999999999999E-2</v>
      </c>
      <c r="U36" s="9">
        <f t="shared" si="9"/>
        <v>2.02</v>
      </c>
      <c r="V36" s="29"/>
    </row>
    <row r="37" spans="1:22" ht="15.75" thickBot="1" x14ac:dyDescent="0.3">
      <c r="A37" s="75">
        <v>35</v>
      </c>
      <c r="B37" s="107"/>
      <c r="C37" s="97" t="s">
        <v>136</v>
      </c>
      <c r="D37" s="57" t="s">
        <v>137</v>
      </c>
      <c r="E37" s="6" t="s">
        <v>52</v>
      </c>
      <c r="F37" s="6" t="s">
        <v>138</v>
      </c>
      <c r="G37" s="5" t="s">
        <v>212</v>
      </c>
      <c r="H37" s="53" t="s">
        <v>267</v>
      </c>
      <c r="I37" s="6" t="s">
        <v>135</v>
      </c>
      <c r="J37" s="7">
        <v>1</v>
      </c>
      <c r="K37" s="5">
        <f t="shared" si="4"/>
        <v>5</v>
      </c>
      <c r="L37" s="5">
        <f t="shared" si="5"/>
        <v>25</v>
      </c>
      <c r="M37" s="5">
        <f t="shared" si="6"/>
        <v>100</v>
      </c>
      <c r="N37" s="8">
        <v>0.1</v>
      </c>
      <c r="O37" s="9">
        <f t="shared" si="7"/>
        <v>0.1</v>
      </c>
      <c r="P37" s="8">
        <v>0.1</v>
      </c>
      <c r="Q37" s="9">
        <f t="shared" si="1"/>
        <v>0.5</v>
      </c>
      <c r="R37" s="9">
        <v>2.4E-2</v>
      </c>
      <c r="S37" s="9">
        <f t="shared" si="8"/>
        <v>0.6</v>
      </c>
      <c r="T37" s="9">
        <v>9.7000000000000003E-3</v>
      </c>
      <c r="U37" s="9">
        <f t="shared" si="9"/>
        <v>0.97</v>
      </c>
      <c r="V37" s="29"/>
    </row>
    <row r="38" spans="1:22" ht="15.75" thickBot="1" x14ac:dyDescent="0.3">
      <c r="A38" s="75">
        <v>36</v>
      </c>
      <c r="B38" s="107"/>
      <c r="C38" s="97" t="s">
        <v>140</v>
      </c>
      <c r="D38" s="57" t="s">
        <v>141</v>
      </c>
      <c r="E38" s="6" t="s">
        <v>52</v>
      </c>
      <c r="F38" s="6" t="s">
        <v>142</v>
      </c>
      <c r="G38" s="5" t="s">
        <v>213</v>
      </c>
      <c r="H38" s="53" t="s">
        <v>267</v>
      </c>
      <c r="I38" s="6" t="s">
        <v>139</v>
      </c>
      <c r="J38" s="7">
        <v>1</v>
      </c>
      <c r="K38" s="5">
        <f t="shared" si="4"/>
        <v>5</v>
      </c>
      <c r="L38" s="5">
        <f t="shared" si="5"/>
        <v>25</v>
      </c>
      <c r="M38" s="5">
        <f t="shared" si="6"/>
        <v>100</v>
      </c>
      <c r="N38" s="8">
        <v>0.1</v>
      </c>
      <c r="O38" s="9">
        <f t="shared" si="7"/>
        <v>0.1</v>
      </c>
      <c r="P38" s="8">
        <v>0.1</v>
      </c>
      <c r="Q38" s="9">
        <f t="shared" si="1"/>
        <v>0.5</v>
      </c>
      <c r="R38" s="9">
        <v>7.2999999999999995E-2</v>
      </c>
      <c r="S38" s="9">
        <f t="shared" si="8"/>
        <v>1.825</v>
      </c>
      <c r="T38" s="9">
        <v>2.9899999999999999E-2</v>
      </c>
      <c r="U38" s="9">
        <f t="shared" si="9"/>
        <v>2.9899999999999998</v>
      </c>
      <c r="V38" s="29"/>
    </row>
    <row r="39" spans="1:22" ht="15.75" thickBot="1" x14ac:dyDescent="0.3">
      <c r="A39" s="75">
        <v>37</v>
      </c>
      <c r="B39" s="107"/>
      <c r="C39" s="97" t="s">
        <v>144</v>
      </c>
      <c r="D39" s="57" t="s">
        <v>145</v>
      </c>
      <c r="E39" s="6" t="s">
        <v>52</v>
      </c>
      <c r="F39" s="6" t="s">
        <v>146</v>
      </c>
      <c r="G39" s="5" t="s">
        <v>212</v>
      </c>
      <c r="H39" s="5" t="s">
        <v>215</v>
      </c>
      <c r="I39" s="6" t="s">
        <v>143</v>
      </c>
      <c r="J39" s="7">
        <v>1</v>
      </c>
      <c r="K39" s="5">
        <f t="shared" si="4"/>
        <v>5</v>
      </c>
      <c r="L39" s="5">
        <f t="shared" si="5"/>
        <v>25</v>
      </c>
      <c r="M39" s="5">
        <f t="shared" si="6"/>
        <v>100</v>
      </c>
      <c r="N39" s="8">
        <v>0.38</v>
      </c>
      <c r="O39" s="9">
        <f t="shared" si="7"/>
        <v>0.38</v>
      </c>
      <c r="P39" s="8">
        <v>0.38</v>
      </c>
      <c r="Q39" s="9">
        <f t="shared" si="1"/>
        <v>1.9</v>
      </c>
      <c r="R39" s="9">
        <v>0.27500000000000002</v>
      </c>
      <c r="S39" s="9">
        <f t="shared" si="8"/>
        <v>6.8750000000000009</v>
      </c>
      <c r="T39" s="9">
        <v>0.11</v>
      </c>
      <c r="U39" s="9">
        <f t="shared" si="9"/>
        <v>11</v>
      </c>
      <c r="V39" s="29"/>
    </row>
    <row r="40" spans="1:22" ht="15.75" thickBot="1" x14ac:dyDescent="0.3">
      <c r="A40" s="75">
        <v>38</v>
      </c>
      <c r="B40" s="108"/>
      <c r="C40" s="98" t="s">
        <v>148</v>
      </c>
      <c r="D40" s="60" t="s">
        <v>149</v>
      </c>
      <c r="E40" s="32" t="s">
        <v>52</v>
      </c>
      <c r="F40" s="32" t="s">
        <v>150</v>
      </c>
      <c r="G40" s="36" t="s">
        <v>212</v>
      </c>
      <c r="H40" s="54" t="s">
        <v>267</v>
      </c>
      <c r="I40" s="32" t="s">
        <v>147</v>
      </c>
      <c r="J40" s="35">
        <v>1</v>
      </c>
      <c r="K40" s="36">
        <f t="shared" si="4"/>
        <v>5</v>
      </c>
      <c r="L40" s="36">
        <f t="shared" si="5"/>
        <v>25</v>
      </c>
      <c r="M40" s="36">
        <f t="shared" si="6"/>
        <v>100</v>
      </c>
      <c r="N40" s="37">
        <v>0.1</v>
      </c>
      <c r="O40" s="38">
        <f t="shared" si="7"/>
        <v>0.1</v>
      </c>
      <c r="P40" s="37">
        <v>0.1</v>
      </c>
      <c r="Q40" s="38">
        <f t="shared" si="1"/>
        <v>0.5</v>
      </c>
      <c r="R40" s="38">
        <v>2.4E-2</v>
      </c>
      <c r="S40" s="38">
        <f t="shared" si="8"/>
        <v>0.6</v>
      </c>
      <c r="T40" s="38">
        <v>9.7000000000000003E-3</v>
      </c>
      <c r="U40" s="38">
        <f t="shared" si="9"/>
        <v>0.97</v>
      </c>
      <c r="V40" s="39"/>
    </row>
    <row r="41" spans="1:22" ht="26.25" thickBot="1" x14ac:dyDescent="0.3">
      <c r="A41" s="75">
        <v>39</v>
      </c>
      <c r="B41" s="106" t="s">
        <v>207</v>
      </c>
      <c r="C41" s="101" t="s">
        <v>155</v>
      </c>
      <c r="D41" s="61" t="s">
        <v>156</v>
      </c>
      <c r="E41" s="22" t="s">
        <v>257</v>
      </c>
      <c r="F41" s="22" t="s">
        <v>154</v>
      </c>
      <c r="G41" s="83" t="s">
        <v>267</v>
      </c>
      <c r="H41" s="83" t="s">
        <v>267</v>
      </c>
      <c r="I41" s="22" t="s">
        <v>279</v>
      </c>
      <c r="J41" s="24">
        <v>1</v>
      </c>
      <c r="K41" s="25">
        <f t="shared" si="4"/>
        <v>5</v>
      </c>
      <c r="L41" s="25">
        <f t="shared" si="5"/>
        <v>25</v>
      </c>
      <c r="M41" s="25">
        <f t="shared" si="6"/>
        <v>100</v>
      </c>
      <c r="N41" s="26">
        <v>3.5999999999999997E-2</v>
      </c>
      <c r="O41" s="27">
        <f t="shared" si="7"/>
        <v>3.5999999999999997E-2</v>
      </c>
      <c r="P41" s="26">
        <v>1.8</v>
      </c>
      <c r="Q41" s="27">
        <v>1.8</v>
      </c>
      <c r="R41" s="27">
        <v>1.8</v>
      </c>
      <c r="S41" s="27">
        <f t="shared" si="8"/>
        <v>45</v>
      </c>
      <c r="T41" s="27">
        <v>1.8</v>
      </c>
      <c r="U41" s="27">
        <f t="shared" si="9"/>
        <v>180</v>
      </c>
      <c r="V41" s="28" t="s">
        <v>254</v>
      </c>
    </row>
    <row r="42" spans="1:22" ht="26.25" thickBot="1" x14ac:dyDescent="0.3">
      <c r="A42" s="75">
        <v>40</v>
      </c>
      <c r="B42" s="108"/>
      <c r="C42" s="98" t="s">
        <v>158</v>
      </c>
      <c r="D42" s="60" t="s">
        <v>159</v>
      </c>
      <c r="E42" s="32" t="s">
        <v>257</v>
      </c>
      <c r="F42" s="32" t="s">
        <v>157</v>
      </c>
      <c r="G42" s="54" t="s">
        <v>292</v>
      </c>
      <c r="H42" s="84" t="s">
        <v>267</v>
      </c>
      <c r="I42" s="32" t="s">
        <v>279</v>
      </c>
      <c r="J42" s="35">
        <v>2</v>
      </c>
      <c r="K42" s="36">
        <f t="shared" si="4"/>
        <v>10</v>
      </c>
      <c r="L42" s="36">
        <f t="shared" si="5"/>
        <v>50</v>
      </c>
      <c r="M42" s="36">
        <f t="shared" si="6"/>
        <v>200</v>
      </c>
      <c r="N42" s="37">
        <v>0.34</v>
      </c>
      <c r="O42" s="38">
        <f t="shared" si="7"/>
        <v>0.68</v>
      </c>
      <c r="P42" s="37">
        <v>0.26</v>
      </c>
      <c r="Q42" s="38">
        <f t="shared" ref="Q42:Q57" si="10">P42*K42</f>
        <v>2.6</v>
      </c>
      <c r="R42" s="38"/>
      <c r="S42" s="38">
        <f t="shared" si="8"/>
        <v>0</v>
      </c>
      <c r="T42" s="38"/>
      <c r="U42" s="38">
        <f t="shared" si="9"/>
        <v>0</v>
      </c>
      <c r="V42" s="39"/>
    </row>
    <row r="43" spans="1:22" ht="15.75" thickBot="1" x14ac:dyDescent="0.3">
      <c r="A43" s="75">
        <v>41</v>
      </c>
      <c r="B43" s="106" t="s">
        <v>208</v>
      </c>
      <c r="C43" s="101" t="s">
        <v>161</v>
      </c>
      <c r="D43" s="61" t="s">
        <v>162</v>
      </c>
      <c r="E43" s="22" t="s">
        <v>163</v>
      </c>
      <c r="F43" s="22" t="s">
        <v>160</v>
      </c>
      <c r="G43" s="85" t="s">
        <v>285</v>
      </c>
      <c r="H43" s="83" t="s">
        <v>267</v>
      </c>
      <c r="I43" s="22" t="s">
        <v>279</v>
      </c>
      <c r="J43" s="24">
        <v>1</v>
      </c>
      <c r="K43" s="25">
        <f t="shared" si="4"/>
        <v>5</v>
      </c>
      <c r="L43" s="25">
        <f t="shared" si="5"/>
        <v>25</v>
      </c>
      <c r="M43" s="25">
        <f t="shared" si="6"/>
        <v>100</v>
      </c>
      <c r="N43" s="26">
        <v>0.47</v>
      </c>
      <c r="O43" s="27">
        <f t="shared" si="7"/>
        <v>0.47</v>
      </c>
      <c r="P43" s="26">
        <v>0.47</v>
      </c>
      <c r="Q43" s="27">
        <f t="shared" si="10"/>
        <v>2.3499999999999996</v>
      </c>
      <c r="R43" s="86">
        <v>0.3508</v>
      </c>
      <c r="S43" s="27">
        <f t="shared" si="8"/>
        <v>8.77</v>
      </c>
      <c r="T43" s="86">
        <v>0.26119999999999999</v>
      </c>
      <c r="U43" s="27">
        <f t="shared" si="9"/>
        <v>26.119999999999997</v>
      </c>
      <c r="V43" s="87" t="s">
        <v>273</v>
      </c>
    </row>
    <row r="44" spans="1:22" ht="15.75" thickBot="1" x14ac:dyDescent="0.3">
      <c r="A44" s="75">
        <v>42</v>
      </c>
      <c r="B44" s="107"/>
      <c r="C44" s="97" t="s">
        <v>165</v>
      </c>
      <c r="D44" s="57" t="s">
        <v>166</v>
      </c>
      <c r="E44" s="6" t="s">
        <v>167</v>
      </c>
      <c r="F44" s="6" t="s">
        <v>164</v>
      </c>
      <c r="G44" s="5" t="s">
        <v>286</v>
      </c>
      <c r="H44" s="56" t="s">
        <v>267</v>
      </c>
      <c r="I44" s="6" t="s">
        <v>279</v>
      </c>
      <c r="J44" s="7">
        <v>1</v>
      </c>
      <c r="K44" s="5">
        <f t="shared" si="4"/>
        <v>5</v>
      </c>
      <c r="L44" s="5">
        <f t="shared" si="5"/>
        <v>25</v>
      </c>
      <c r="M44" s="5">
        <f t="shared" si="6"/>
        <v>100</v>
      </c>
      <c r="N44" s="8">
        <v>0.5</v>
      </c>
      <c r="O44" s="9">
        <f t="shared" si="7"/>
        <v>0.5</v>
      </c>
      <c r="P44" s="8">
        <v>0.5</v>
      </c>
      <c r="Q44" s="9">
        <f t="shared" si="10"/>
        <v>2.5</v>
      </c>
      <c r="R44" s="9">
        <v>0.4</v>
      </c>
      <c r="S44" s="9">
        <f t="shared" si="8"/>
        <v>10</v>
      </c>
      <c r="T44" s="9">
        <v>0.38</v>
      </c>
      <c r="U44" s="9">
        <f t="shared" si="9"/>
        <v>38</v>
      </c>
      <c r="V44" s="29"/>
    </row>
    <row r="45" spans="1:22" ht="15.75" thickBot="1" x14ac:dyDescent="0.3">
      <c r="A45" s="75">
        <v>43</v>
      </c>
      <c r="B45" s="107"/>
      <c r="C45" s="97" t="s">
        <v>169</v>
      </c>
      <c r="D45" s="57" t="s">
        <v>170</v>
      </c>
      <c r="E45" s="6" t="s">
        <v>171</v>
      </c>
      <c r="F45" s="6" t="s">
        <v>168</v>
      </c>
      <c r="G45" s="5" t="s">
        <v>216</v>
      </c>
      <c r="H45" s="56" t="s">
        <v>267</v>
      </c>
      <c r="I45" s="6" t="s">
        <v>279</v>
      </c>
      <c r="J45" s="7">
        <v>1</v>
      </c>
      <c r="K45" s="5">
        <f t="shared" si="4"/>
        <v>5</v>
      </c>
      <c r="L45" s="5">
        <f t="shared" si="5"/>
        <v>25</v>
      </c>
      <c r="M45" s="5">
        <f t="shared" si="6"/>
        <v>100</v>
      </c>
      <c r="N45" s="8">
        <v>2.21</v>
      </c>
      <c r="O45" s="9">
        <f t="shared" si="7"/>
        <v>2.21</v>
      </c>
      <c r="P45" s="8">
        <v>2.21</v>
      </c>
      <c r="Q45" s="9">
        <f t="shared" si="10"/>
        <v>11.05</v>
      </c>
      <c r="R45" s="9">
        <v>1.8759999999999999</v>
      </c>
      <c r="S45" s="9">
        <f t="shared" si="8"/>
        <v>46.9</v>
      </c>
      <c r="T45" s="9">
        <v>1.5985</v>
      </c>
      <c r="U45" s="9">
        <f t="shared" si="9"/>
        <v>159.85</v>
      </c>
      <c r="V45" s="29"/>
    </row>
    <row r="46" spans="1:22" ht="15.75" thickBot="1" x14ac:dyDescent="0.3">
      <c r="A46" s="75">
        <v>44</v>
      </c>
      <c r="B46" s="107"/>
      <c r="C46" s="97" t="s">
        <v>173</v>
      </c>
      <c r="D46" s="57" t="s">
        <v>174</v>
      </c>
      <c r="E46" s="6" t="s">
        <v>175</v>
      </c>
      <c r="F46" s="6" t="s">
        <v>172</v>
      </c>
      <c r="G46" s="5" t="s">
        <v>217</v>
      </c>
      <c r="H46" s="56" t="s">
        <v>267</v>
      </c>
      <c r="I46" s="6" t="s">
        <v>279</v>
      </c>
      <c r="J46" s="7">
        <v>1</v>
      </c>
      <c r="K46" s="5">
        <f t="shared" si="4"/>
        <v>5</v>
      </c>
      <c r="L46" s="5">
        <f t="shared" si="5"/>
        <v>25</v>
      </c>
      <c r="M46" s="5">
        <f t="shared" si="6"/>
        <v>100</v>
      </c>
      <c r="N46" s="8">
        <v>0.43</v>
      </c>
      <c r="O46" s="9">
        <f t="shared" si="7"/>
        <v>0.43</v>
      </c>
      <c r="P46" s="8">
        <v>0.43</v>
      </c>
      <c r="Q46" s="9">
        <f t="shared" si="10"/>
        <v>2.15</v>
      </c>
      <c r="R46" s="9">
        <v>0.29399999999999998</v>
      </c>
      <c r="S46" s="9">
        <f t="shared" si="8"/>
        <v>7.35</v>
      </c>
      <c r="T46" s="9">
        <v>0.20300000000000001</v>
      </c>
      <c r="U46" s="9">
        <f t="shared" si="9"/>
        <v>20.3</v>
      </c>
      <c r="V46" s="29"/>
    </row>
    <row r="47" spans="1:22" ht="15.75" thickBot="1" x14ac:dyDescent="0.3">
      <c r="A47" s="75">
        <v>45</v>
      </c>
      <c r="B47" s="107"/>
      <c r="C47" s="97" t="s">
        <v>177</v>
      </c>
      <c r="D47" s="57" t="s">
        <v>178</v>
      </c>
      <c r="E47" s="6" t="s">
        <v>179</v>
      </c>
      <c r="F47" s="6" t="s">
        <v>176</v>
      </c>
      <c r="G47" s="5" t="s">
        <v>218</v>
      </c>
      <c r="H47" s="56" t="s">
        <v>267</v>
      </c>
      <c r="I47" s="6" t="s">
        <v>279</v>
      </c>
      <c r="J47" s="7">
        <v>1</v>
      </c>
      <c r="K47" s="5">
        <f t="shared" si="4"/>
        <v>5</v>
      </c>
      <c r="L47" s="5">
        <f t="shared" si="5"/>
        <v>25</v>
      </c>
      <c r="M47" s="5">
        <f t="shared" si="6"/>
        <v>100</v>
      </c>
      <c r="N47" s="8">
        <v>0.65</v>
      </c>
      <c r="O47" s="9">
        <f t="shared" si="7"/>
        <v>0.65</v>
      </c>
      <c r="P47" s="8">
        <v>0.65</v>
      </c>
      <c r="Q47" s="9">
        <f t="shared" si="10"/>
        <v>3.25</v>
      </c>
      <c r="R47" s="9">
        <v>0.52280000000000004</v>
      </c>
      <c r="S47" s="9">
        <f t="shared" si="8"/>
        <v>13.07</v>
      </c>
      <c r="T47" s="9">
        <v>0.41820000000000002</v>
      </c>
      <c r="U47" s="9">
        <f t="shared" si="9"/>
        <v>41.82</v>
      </c>
      <c r="V47" s="29"/>
    </row>
    <row r="48" spans="1:22" ht="15.75" thickBot="1" x14ac:dyDescent="0.3">
      <c r="A48" s="75">
        <v>46</v>
      </c>
      <c r="B48" s="107"/>
      <c r="C48" s="97" t="s">
        <v>181</v>
      </c>
      <c r="D48" s="57" t="s">
        <v>182</v>
      </c>
      <c r="E48" s="6" t="s">
        <v>183</v>
      </c>
      <c r="F48" s="6" t="s">
        <v>180</v>
      </c>
      <c r="G48" s="5"/>
      <c r="H48" s="56" t="s">
        <v>267</v>
      </c>
      <c r="I48" s="6" t="s">
        <v>279</v>
      </c>
      <c r="J48" s="7">
        <v>1</v>
      </c>
      <c r="K48" s="5">
        <f t="shared" si="4"/>
        <v>5</v>
      </c>
      <c r="L48" s="5">
        <f t="shared" si="5"/>
        <v>25</v>
      </c>
      <c r="M48" s="5">
        <f t="shared" si="6"/>
        <v>100</v>
      </c>
      <c r="N48" s="8">
        <v>6.63</v>
      </c>
      <c r="O48" s="9">
        <f t="shared" si="7"/>
        <v>6.63</v>
      </c>
      <c r="P48" s="8">
        <v>6.63</v>
      </c>
      <c r="Q48" s="9">
        <f t="shared" si="10"/>
        <v>33.15</v>
      </c>
      <c r="R48" s="9">
        <v>5.6288</v>
      </c>
      <c r="S48" s="9">
        <f t="shared" si="8"/>
        <v>140.72</v>
      </c>
      <c r="T48" s="9">
        <v>4.8780999999999999</v>
      </c>
      <c r="U48" s="9">
        <f t="shared" si="9"/>
        <v>487.81</v>
      </c>
      <c r="V48" s="29"/>
    </row>
    <row r="49" spans="1:22" ht="15.75" thickBot="1" x14ac:dyDescent="0.3">
      <c r="A49" s="75">
        <v>47</v>
      </c>
      <c r="B49" s="108"/>
      <c r="C49" s="98" t="s">
        <v>185</v>
      </c>
      <c r="D49" s="60" t="s">
        <v>186</v>
      </c>
      <c r="E49" s="32" t="s">
        <v>187</v>
      </c>
      <c r="F49" s="32" t="s">
        <v>184</v>
      </c>
      <c r="G49" s="36" t="s">
        <v>219</v>
      </c>
      <c r="H49" s="84" t="s">
        <v>267</v>
      </c>
      <c r="I49" s="32" t="s">
        <v>279</v>
      </c>
      <c r="J49" s="35">
        <v>1</v>
      </c>
      <c r="K49" s="36">
        <f t="shared" si="4"/>
        <v>5</v>
      </c>
      <c r="L49" s="36">
        <f t="shared" si="5"/>
        <v>25</v>
      </c>
      <c r="M49" s="36">
        <f t="shared" si="6"/>
        <v>100</v>
      </c>
      <c r="N49" s="37">
        <v>2.31</v>
      </c>
      <c r="O49" s="38">
        <f t="shared" si="7"/>
        <v>2.31</v>
      </c>
      <c r="P49" s="37">
        <v>2.31</v>
      </c>
      <c r="Q49" s="38">
        <f t="shared" si="10"/>
        <v>11.55</v>
      </c>
      <c r="R49" s="38">
        <v>1.96</v>
      </c>
      <c r="S49" s="38">
        <f t="shared" si="8"/>
        <v>49</v>
      </c>
      <c r="T49" s="38">
        <v>1.6698999999999999</v>
      </c>
      <c r="U49" s="38">
        <f t="shared" si="9"/>
        <v>166.98999999999998</v>
      </c>
      <c r="V49" s="39"/>
    </row>
    <row r="50" spans="1:22" ht="15.75" thickBot="1" x14ac:dyDescent="0.3">
      <c r="A50" s="75">
        <v>48</v>
      </c>
      <c r="B50" s="106" t="s">
        <v>209</v>
      </c>
      <c r="C50" s="101" t="s">
        <v>64</v>
      </c>
      <c r="D50" s="22" t="s">
        <v>65</v>
      </c>
      <c r="E50" s="22" t="s">
        <v>257</v>
      </c>
      <c r="F50" s="22" t="s">
        <v>63</v>
      </c>
      <c r="G50" s="25" t="s">
        <v>287</v>
      </c>
      <c r="H50" s="83" t="s">
        <v>267</v>
      </c>
      <c r="I50" s="22" t="s">
        <v>279</v>
      </c>
      <c r="J50" s="24">
        <v>1</v>
      </c>
      <c r="K50" s="25">
        <f t="shared" si="4"/>
        <v>5</v>
      </c>
      <c r="L50" s="25">
        <f t="shared" si="5"/>
        <v>25</v>
      </c>
      <c r="M50" s="25">
        <f t="shared" si="6"/>
        <v>100</v>
      </c>
      <c r="N50" s="26">
        <v>1.8448</v>
      </c>
      <c r="O50" s="27">
        <f t="shared" si="7"/>
        <v>1.8448</v>
      </c>
      <c r="P50" s="26">
        <v>1.8448</v>
      </c>
      <c r="Q50" s="27">
        <f t="shared" si="10"/>
        <v>9.2240000000000002</v>
      </c>
      <c r="R50" s="27">
        <v>1.3489</v>
      </c>
      <c r="S50" s="27">
        <f t="shared" si="8"/>
        <v>33.722499999999997</v>
      </c>
      <c r="T50" s="27">
        <v>1.3489</v>
      </c>
      <c r="U50" s="27">
        <f t="shared" si="9"/>
        <v>134.88999999999999</v>
      </c>
      <c r="V50" s="28"/>
    </row>
    <row r="51" spans="1:22" ht="26.25" thickBot="1" x14ac:dyDescent="0.3">
      <c r="A51" s="75">
        <v>49</v>
      </c>
      <c r="B51" s="107"/>
      <c r="C51" s="97" t="s">
        <v>67</v>
      </c>
      <c r="D51" s="6" t="s">
        <v>68</v>
      </c>
      <c r="E51" s="6" t="s">
        <v>257</v>
      </c>
      <c r="F51" s="6" t="s">
        <v>66</v>
      </c>
      <c r="G51" s="5" t="s">
        <v>220</v>
      </c>
      <c r="H51" s="56" t="s">
        <v>267</v>
      </c>
      <c r="I51" s="6" t="s">
        <v>279</v>
      </c>
      <c r="J51" s="7">
        <v>2</v>
      </c>
      <c r="K51" s="5">
        <f t="shared" si="4"/>
        <v>10</v>
      </c>
      <c r="L51" s="5">
        <f t="shared" si="5"/>
        <v>50</v>
      </c>
      <c r="M51" s="5">
        <f t="shared" si="6"/>
        <v>200</v>
      </c>
      <c r="N51" s="8">
        <v>1.92</v>
      </c>
      <c r="O51" s="9">
        <f t="shared" si="7"/>
        <v>3.84</v>
      </c>
      <c r="P51" s="8">
        <v>1.744</v>
      </c>
      <c r="Q51" s="9">
        <f t="shared" si="10"/>
        <v>17.440000000000001</v>
      </c>
      <c r="R51" s="9">
        <v>1.5660000000000001</v>
      </c>
      <c r="S51" s="9">
        <f t="shared" si="8"/>
        <v>78.3</v>
      </c>
      <c r="T51" s="9">
        <v>1.4948300000000001</v>
      </c>
      <c r="U51" s="9">
        <f t="shared" si="9"/>
        <v>298.96600000000001</v>
      </c>
      <c r="V51" s="29"/>
    </row>
    <row r="52" spans="1:22" ht="15.75" thickBot="1" x14ac:dyDescent="0.3">
      <c r="A52" s="75">
        <v>50</v>
      </c>
      <c r="B52" s="107"/>
      <c r="C52" s="97" t="s">
        <v>70</v>
      </c>
      <c r="D52" s="6" t="s">
        <v>71</v>
      </c>
      <c r="E52" s="6" t="s">
        <v>257</v>
      </c>
      <c r="F52" s="6" t="s">
        <v>69</v>
      </c>
      <c r="G52" s="5" t="s">
        <v>241</v>
      </c>
      <c r="H52" s="56" t="s">
        <v>267</v>
      </c>
      <c r="I52" s="6" t="s">
        <v>279</v>
      </c>
      <c r="J52" s="7">
        <v>1</v>
      </c>
      <c r="K52" s="5">
        <f t="shared" si="4"/>
        <v>5</v>
      </c>
      <c r="L52" s="5">
        <f t="shared" si="5"/>
        <v>25</v>
      </c>
      <c r="M52" s="5">
        <f t="shared" si="6"/>
        <v>100</v>
      </c>
      <c r="N52" s="8">
        <v>1.29</v>
      </c>
      <c r="O52" s="9">
        <f t="shared" si="7"/>
        <v>1.29</v>
      </c>
      <c r="P52" s="8">
        <v>1.29</v>
      </c>
      <c r="Q52" s="9">
        <f t="shared" si="10"/>
        <v>6.45</v>
      </c>
      <c r="R52" s="9">
        <v>1.133</v>
      </c>
      <c r="S52" s="9">
        <f t="shared" si="8"/>
        <v>28.324999999999999</v>
      </c>
      <c r="T52" s="9">
        <v>0.97770000000000001</v>
      </c>
      <c r="U52" s="9">
        <f t="shared" si="9"/>
        <v>97.77</v>
      </c>
      <c r="V52" s="29"/>
    </row>
    <row r="53" spans="1:22" ht="15.75" thickBot="1" x14ac:dyDescent="0.3">
      <c r="A53" s="75">
        <v>51</v>
      </c>
      <c r="B53" s="107"/>
      <c r="C53" s="102" t="s">
        <v>295</v>
      </c>
      <c r="D53" s="11" t="s">
        <v>72</v>
      </c>
      <c r="E53" s="11" t="s">
        <v>257</v>
      </c>
      <c r="F53" s="11" t="s">
        <v>296</v>
      </c>
      <c r="G53" s="12" t="s">
        <v>242</v>
      </c>
      <c r="H53" s="112" t="s">
        <v>267</v>
      </c>
      <c r="I53" s="11" t="s">
        <v>279</v>
      </c>
      <c r="J53" s="12">
        <v>1</v>
      </c>
      <c r="K53" s="12">
        <f t="shared" si="4"/>
        <v>5</v>
      </c>
      <c r="L53" s="12">
        <f t="shared" si="5"/>
        <v>25</v>
      </c>
      <c r="M53" s="12">
        <f t="shared" si="6"/>
        <v>100</v>
      </c>
      <c r="N53" s="14"/>
      <c r="O53" s="13">
        <f t="shared" si="7"/>
        <v>0</v>
      </c>
      <c r="P53" s="14"/>
      <c r="Q53" s="13">
        <f t="shared" si="10"/>
        <v>0</v>
      </c>
      <c r="R53" s="13"/>
      <c r="S53" s="13">
        <f t="shared" si="8"/>
        <v>0</v>
      </c>
      <c r="T53" s="13"/>
      <c r="U53" s="13">
        <f t="shared" si="9"/>
        <v>0</v>
      </c>
      <c r="V53" s="89" t="s">
        <v>288</v>
      </c>
    </row>
    <row r="54" spans="1:22" ht="15.75" thickBot="1" x14ac:dyDescent="0.3">
      <c r="A54" s="75">
        <v>52</v>
      </c>
      <c r="B54" s="107"/>
      <c r="C54" s="97" t="s">
        <v>84</v>
      </c>
      <c r="D54" s="6" t="s">
        <v>85</v>
      </c>
      <c r="E54" s="6" t="s">
        <v>257</v>
      </c>
      <c r="F54" s="6" t="s">
        <v>83</v>
      </c>
      <c r="G54" s="5" t="s">
        <v>243</v>
      </c>
      <c r="H54" s="56" t="s">
        <v>267</v>
      </c>
      <c r="I54" s="6" t="s">
        <v>279</v>
      </c>
      <c r="J54" s="7">
        <v>2</v>
      </c>
      <c r="K54" s="5">
        <f t="shared" si="4"/>
        <v>10</v>
      </c>
      <c r="L54" s="5">
        <f t="shared" si="5"/>
        <v>50</v>
      </c>
      <c r="M54" s="5">
        <f t="shared" si="6"/>
        <v>200</v>
      </c>
      <c r="N54" s="8">
        <v>1.5</v>
      </c>
      <c r="O54" s="9">
        <f t="shared" si="7"/>
        <v>3</v>
      </c>
      <c r="P54" s="8">
        <v>1.5</v>
      </c>
      <c r="Q54" s="9">
        <f t="shared" si="10"/>
        <v>15</v>
      </c>
      <c r="R54" s="9">
        <v>1.5</v>
      </c>
      <c r="S54" s="9">
        <f t="shared" si="8"/>
        <v>75</v>
      </c>
      <c r="T54" s="9">
        <v>1.5</v>
      </c>
      <c r="U54" s="9">
        <f t="shared" si="9"/>
        <v>300</v>
      </c>
      <c r="V54" s="29"/>
    </row>
    <row r="55" spans="1:22" ht="15.75" thickBot="1" x14ac:dyDescent="0.3">
      <c r="A55" s="75">
        <v>53</v>
      </c>
      <c r="B55" s="107"/>
      <c r="C55" s="97" t="s">
        <v>89</v>
      </c>
      <c r="D55" s="6" t="s">
        <v>90</v>
      </c>
      <c r="E55" s="6" t="s">
        <v>91</v>
      </c>
      <c r="F55" s="6">
        <v>61300211121</v>
      </c>
      <c r="G55" s="5" t="s">
        <v>244</v>
      </c>
      <c r="H55" s="56" t="s">
        <v>267</v>
      </c>
      <c r="I55" s="6" t="s">
        <v>279</v>
      </c>
      <c r="J55" s="7">
        <v>2</v>
      </c>
      <c r="K55" s="5">
        <f t="shared" si="4"/>
        <v>10</v>
      </c>
      <c r="L55" s="5">
        <f t="shared" si="5"/>
        <v>50</v>
      </c>
      <c r="M55" s="5">
        <f t="shared" si="6"/>
        <v>200</v>
      </c>
      <c r="N55" s="8">
        <v>0.13</v>
      </c>
      <c r="O55" s="9">
        <f t="shared" si="7"/>
        <v>0.26</v>
      </c>
      <c r="P55" s="8">
        <v>0.106</v>
      </c>
      <c r="Q55" s="9">
        <f t="shared" si="10"/>
        <v>1.06</v>
      </c>
      <c r="R55" s="19">
        <v>7.3999999999999996E-2</v>
      </c>
      <c r="S55" s="9">
        <f t="shared" si="8"/>
        <v>3.6999999999999997</v>
      </c>
      <c r="T55" s="19">
        <v>6.7000000000000004E-2</v>
      </c>
      <c r="U55" s="9">
        <f t="shared" si="9"/>
        <v>13.4</v>
      </c>
      <c r="V55" s="88"/>
    </row>
    <row r="56" spans="1:22" ht="15.75" thickBot="1" x14ac:dyDescent="0.3">
      <c r="A56" s="75">
        <v>54</v>
      </c>
      <c r="B56" s="107"/>
      <c r="C56" s="102" t="s">
        <v>86</v>
      </c>
      <c r="D56" s="11" t="s">
        <v>87</v>
      </c>
      <c r="E56" s="11" t="s">
        <v>88</v>
      </c>
      <c r="F56" s="11" t="s">
        <v>88</v>
      </c>
      <c r="G56" s="12"/>
      <c r="H56" s="12"/>
      <c r="I56" s="18" t="s">
        <v>279</v>
      </c>
      <c r="J56" s="12">
        <v>4</v>
      </c>
      <c r="K56" s="12">
        <f t="shared" si="4"/>
        <v>20</v>
      </c>
      <c r="L56" s="5">
        <f t="shared" si="5"/>
        <v>100</v>
      </c>
      <c r="M56" s="5">
        <f t="shared" si="6"/>
        <v>400</v>
      </c>
      <c r="N56" s="12"/>
      <c r="O56" s="13">
        <f t="shared" si="7"/>
        <v>0</v>
      </c>
      <c r="P56" s="14"/>
      <c r="Q56" s="13">
        <f t="shared" si="10"/>
        <v>0</v>
      </c>
      <c r="R56" s="13"/>
      <c r="S56" s="13">
        <f t="shared" si="8"/>
        <v>0</v>
      </c>
      <c r="T56" s="13"/>
      <c r="U56" s="13">
        <f t="shared" si="9"/>
        <v>0</v>
      </c>
      <c r="V56" s="89" t="s">
        <v>288</v>
      </c>
    </row>
    <row r="57" spans="1:22" ht="15.75" thickBot="1" x14ac:dyDescent="0.3">
      <c r="A57" s="75">
        <v>55</v>
      </c>
      <c r="B57" s="108"/>
      <c r="C57" s="103" t="s">
        <v>152</v>
      </c>
      <c r="D57" s="90" t="s">
        <v>153</v>
      </c>
      <c r="E57" s="90" t="s">
        <v>151</v>
      </c>
      <c r="F57" s="90" t="s">
        <v>151</v>
      </c>
      <c r="G57" s="91"/>
      <c r="H57" s="91"/>
      <c r="I57" s="33" t="s">
        <v>279</v>
      </c>
      <c r="J57" s="91">
        <v>1</v>
      </c>
      <c r="K57" s="91">
        <f t="shared" si="4"/>
        <v>5</v>
      </c>
      <c r="L57" s="36">
        <f t="shared" si="5"/>
        <v>25</v>
      </c>
      <c r="M57" s="36">
        <f t="shared" si="6"/>
        <v>100</v>
      </c>
      <c r="N57" s="91"/>
      <c r="O57" s="92">
        <f t="shared" si="7"/>
        <v>0</v>
      </c>
      <c r="P57" s="93"/>
      <c r="Q57" s="92">
        <f t="shared" si="10"/>
        <v>0</v>
      </c>
      <c r="R57" s="92"/>
      <c r="S57" s="92">
        <f t="shared" si="8"/>
        <v>0</v>
      </c>
      <c r="T57" s="92"/>
      <c r="U57" s="92">
        <f t="shared" si="9"/>
        <v>0</v>
      </c>
      <c r="V57" s="94" t="s">
        <v>288</v>
      </c>
    </row>
    <row r="58" spans="1:22" ht="19.5" thickBot="1" x14ac:dyDescent="0.35">
      <c r="C58" s="10"/>
      <c r="D58" s="10"/>
      <c r="E58" s="10"/>
      <c r="F58" s="10"/>
      <c r="G58" s="10"/>
      <c r="H58" s="10"/>
      <c r="I58" s="10"/>
      <c r="J58" s="104" t="s">
        <v>289</v>
      </c>
      <c r="K58" s="104"/>
      <c r="L58" s="104"/>
      <c r="M58" s="104"/>
      <c r="O58" s="21">
        <f>SUM(O3:O55)</f>
        <v>69.050800000000024</v>
      </c>
      <c r="Q58" s="21">
        <f>SUM(Q3:Q55)</f>
        <v>306.36899999999997</v>
      </c>
      <c r="S58" s="21">
        <f>SUM(S3:S57)</f>
        <v>1257.7875000000004</v>
      </c>
      <c r="U58" s="21">
        <f>SUM(U3:U57)</f>
        <v>4258.0559999999987</v>
      </c>
    </row>
    <row r="59" spans="1:22" ht="18.75" x14ac:dyDescent="0.3">
      <c r="J59" s="105" t="s">
        <v>290</v>
      </c>
      <c r="K59" s="105"/>
      <c r="L59" s="105"/>
      <c r="M59" s="105"/>
      <c r="O59" s="63"/>
      <c r="Q59" s="63">
        <f>Q58/5</f>
        <v>61.273799999999994</v>
      </c>
      <c r="S59" s="63">
        <f>S58/25</f>
        <v>50.311500000000017</v>
      </c>
      <c r="U59" s="63">
        <f>U58/100</f>
        <v>42.580559999999984</v>
      </c>
    </row>
  </sheetData>
  <mergeCells count="9">
    <mergeCell ref="J58:M58"/>
    <mergeCell ref="J59:M59"/>
    <mergeCell ref="B50:B57"/>
    <mergeCell ref="A1:V1"/>
    <mergeCell ref="B20:B23"/>
    <mergeCell ref="B3:B19"/>
    <mergeCell ref="B27:B40"/>
    <mergeCell ref="B41:B42"/>
    <mergeCell ref="B43:B49"/>
  </mergeCells>
  <conditionalFormatting sqref="O3:O5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M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3 Q54:R57 Q49:R52 T49:T52 T54:T55 Q4:R47 S4:S55 T4:U32 T33:T47 U33:U55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S56:U5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{E03564D0-76FD-4951-910F-90ED8DD04383}</x14:id>
        </ext>
      </extLst>
    </cfRule>
  </conditionalFormatting>
  <conditionalFormatting sqref="O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{8362863F-AC69-47E2-8A1B-8F9BDCB27122}</x14:id>
        </ext>
      </extLst>
    </cfRule>
  </conditionalFormatting>
  <conditionalFormatting sqref="Q5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{5217FA4A-4F12-45AF-A381-BFA10BA77577}</x14:id>
        </ext>
      </extLst>
    </cfRule>
  </conditionalFormatting>
  <conditionalFormatting sqref="S5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{96D9A894-5696-4221-91CF-E4AB3935EA28}</x14:id>
        </ext>
      </extLst>
    </cfRule>
  </conditionalFormatting>
  <conditionalFormatting sqref="U5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{26D30817-000E-48DA-9303-E577A78684B1}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 Q54:R57 Q49:R52 T49:T52 T54:T55 Q4:R47 S4:S55 T4:U32 T33:T47 U33:U55</xm:sqref>
        </x14:conditionalFormatting>
        <x14:conditionalFormatting xmlns:xm="http://schemas.microsoft.com/office/excel/2006/main">
          <x14:cfRule type="dataBar" id="{E03564D0-76FD-4951-910F-90ED8DD043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S56:U57</xm:sqref>
        </x14:conditionalFormatting>
        <x14:conditionalFormatting xmlns:xm="http://schemas.microsoft.com/office/excel/2006/main">
          <x14:cfRule type="dataBar" id="{8362863F-AC69-47E2-8A1B-8F9BDCB271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5217FA4A-4F12-45AF-A381-BFA10BA77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96D9A894-5696-4221-91CF-E4AB3935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26D30817-000E-48DA-9303-E577A7868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Faizan Ur Rahman</cp:lastModifiedBy>
  <dcterms:created xsi:type="dcterms:W3CDTF">2021-07-08T12:50:28Z</dcterms:created>
  <dcterms:modified xsi:type="dcterms:W3CDTF">2021-08-06T20:29:59Z</dcterms:modified>
</cp:coreProperties>
</file>