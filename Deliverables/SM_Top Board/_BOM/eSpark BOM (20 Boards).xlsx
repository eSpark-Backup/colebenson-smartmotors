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M COM\Desktop\BOM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92" i="1" l="1"/>
  <c r="Q93" i="1"/>
  <c r="Q92" i="1"/>
  <c r="Q12" i="1" l="1"/>
  <c r="Q13" i="1"/>
  <c r="Q14" i="1"/>
  <c r="Q15" i="1"/>
  <c r="Q16" i="1"/>
  <c r="Q17" i="1"/>
  <c r="Q18" i="1"/>
  <c r="Q19" i="1"/>
  <c r="Q20" i="1"/>
  <c r="Q21" i="1"/>
  <c r="Q22" i="1"/>
  <c r="Q11" i="1"/>
  <c r="Q10" i="1"/>
  <c r="M12" i="1" l="1"/>
  <c r="M13" i="1"/>
  <c r="M14" i="1"/>
  <c r="M15" i="1"/>
  <c r="M16" i="1"/>
  <c r="M17" i="1"/>
  <c r="M18" i="1"/>
  <c r="M19" i="1"/>
  <c r="M20" i="1"/>
  <c r="M21" i="1"/>
  <c r="M22" i="1"/>
  <c r="M23" i="1"/>
  <c r="Q23" i="1" s="1"/>
  <c r="M24" i="1"/>
  <c r="Q24" i="1" s="1"/>
  <c r="M25" i="1"/>
  <c r="Q25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3" i="1"/>
  <c r="Q43" i="1" s="1"/>
  <c r="M44" i="1"/>
  <c r="Q44" i="1" s="1"/>
  <c r="M45" i="1"/>
  <c r="Q45" i="1" s="1"/>
  <c r="M46" i="1"/>
  <c r="Q46" i="1" s="1"/>
  <c r="M47" i="1"/>
  <c r="Q47" i="1" s="1"/>
  <c r="M48" i="1"/>
  <c r="Q48" i="1" s="1"/>
  <c r="M49" i="1"/>
  <c r="Q49" i="1" s="1"/>
  <c r="M50" i="1"/>
  <c r="Q50" i="1" s="1"/>
  <c r="M51" i="1"/>
  <c r="N51" i="1" s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69" i="1"/>
  <c r="Q69" i="1" s="1"/>
  <c r="M70" i="1"/>
  <c r="Q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N79" i="1" s="1"/>
  <c r="Q79" i="1" s="1"/>
  <c r="M80" i="1"/>
  <c r="N80" i="1" s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M11" i="1"/>
  <c r="M10" i="1"/>
  <c r="B91" i="1" l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<sst xmlns="http://schemas.openxmlformats.org/spreadsheetml/2006/main" count="853" uniqueCount="490">
  <si>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</si>
  <si>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</si>
  <si>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</si>
  <si>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</si>
  <si>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</si>
  <si>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</si>
  <si>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</si>
  <si>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</si>
  <si>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</si>
  <si>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C2, C13, C51, C52, C53, C54, C61, CF1, CF2</t>
  </si>
  <si>
    <t>C3</t>
  </si>
  <si>
    <t>C4, C46</t>
  </si>
  <si>
    <t>C5, C6, C14, C23, C24, C29, C34, C35, C56</t>
  </si>
  <si>
    <t>C7</t>
  </si>
  <si>
    <t>C8, C10, C11, C12</t>
  </si>
  <si>
    <t>C9</t>
  </si>
  <si>
    <t>C15, C20, C40</t>
  </si>
  <si>
    <t>C17</t>
  </si>
  <si>
    <t>C22</t>
  </si>
  <si>
    <t>C25, C32</t>
  </si>
  <si>
    <t>C30</t>
  </si>
  <si>
    <t>C33, C38, C39</t>
  </si>
  <si>
    <t>C36</t>
  </si>
  <si>
    <t>C37</t>
  </si>
  <si>
    <t>C41</t>
  </si>
  <si>
    <t>C42</t>
  </si>
  <si>
    <t>C43, C45, C47</t>
  </si>
  <si>
    <t>C44</t>
  </si>
  <si>
    <t>C48</t>
  </si>
  <si>
    <t>C49</t>
  </si>
  <si>
    <t>C50</t>
  </si>
  <si>
    <t>C55</t>
  </si>
  <si>
    <t>C57, C58, C59, C60</t>
  </si>
  <si>
    <t>D1</t>
  </si>
  <si>
    <t>D2</t>
  </si>
  <si>
    <t>D3</t>
  </si>
  <si>
    <t>D4, D5, D6, D7, D8, D9, D10, D11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</si>
  <si>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</si>
  <si>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</si>
  <si>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</si>
  <si>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</si>
  <si>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</si>
  <si>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</si>
  <si>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</si>
  <si>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</si>
  <si>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</si>
  <si>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</si>
  <si>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</si>
  <si>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</si>
  <si>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</si>
  <si>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Q2, Q3, Q4, Q5, Q6, Q7, Q8, Q9</t>
  </si>
  <si>
    <t>R1, R2</t>
  </si>
  <si>
    <t>R3</t>
  </si>
  <si>
    <t>R4</t>
  </si>
  <si>
    <t>R5, R32</t>
  </si>
  <si>
    <t>R6, R7, R8, R9</t>
  </si>
  <si>
    <t>R10, R11, R12, R13</t>
  </si>
  <si>
    <t>R21</t>
  </si>
  <si>
    <t>R22</t>
  </si>
  <si>
    <t>R23</t>
  </si>
  <si>
    <t>R24</t>
  </si>
  <si>
    <t>R25</t>
  </si>
  <si>
    <t>R27</t>
  </si>
  <si>
    <t>R28</t>
  </si>
  <si>
    <t>R29</t>
  </si>
  <si>
    <t>R33, R46</t>
  </si>
  <si>
    <t>R35, R39</t>
  </si>
  <si>
    <t>R36</t>
  </si>
  <si>
    <t>R37</t>
  </si>
  <si>
    <t>R38</t>
  </si>
  <si>
    <t>R40</t>
  </si>
  <si>
    <t>R41</t>
  </si>
  <si>
    <t>R42, R43, R44, R45</t>
  </si>
  <si>
    <t>RF1, RF2, RF3, RF4</t>
  </si>
  <si>
    <t>SB1, SB2, SB3, SB4, SB5, SB6, SB7, SB8, SB9, SB10, SB11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</si>
  <si>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</si>
  <si>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</si>
  <si>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</si>
  <si>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</si>
  <si>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</si>
  <si>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</si>
  <si>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</si>
  <si>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</si>
  <si>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</si>
  <si>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</si>
  <si>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</si>
  <si>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</si>
  <si>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</si>
  <si>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</si>
  <si>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</si>
  <si>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</si>
  <si>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</si>
  <si>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</si>
  <si>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</si>
  <si>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10UF 25V X5R 0603</t>
  </si>
  <si>
    <t>CAP CER 0.082UF 50V X7R 0603</t>
  </si>
  <si>
    <t>CAP CER 0.1UF 100V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</si>
  <si>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</si>
  <si>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</si>
  <si>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</si>
  <si>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</si>
  <si>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</si>
  <si>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</si>
  <si>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</si>
  <si>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</si>
  <si>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4.7UF 100V X7S 1210</t>
  </si>
  <si>
    <t>Surface Mount Ceramic Multilayer Capacitor 68pF 5% C0G 50V 0603 Paper T/R</t>
  </si>
  <si>
    <t>CAP CER 1206 47 uF 25 V ±20 % Tol. X5R</t>
  </si>
  <si>
    <t>CAP CER 0.02uF 50V X7R 10% SMD 0603 125°C Paper T/R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</si>
  <si>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</si>
  <si>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</si>
  <si>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</si>
  <si>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1UF 100V X7S 0805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</si>
  <si>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</si>
  <si>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</si>
  <si>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</si>
  <si>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</si>
  <si>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SOD123W</t>
  </si>
  <si>
    <t>FUSE BOARD MNT 15A 125VAC 32VDC</t>
  </si>
  <si>
    <t>Ferrite Beads Multi-Layer 120Ohm 25% 100MHz 2A 45mOhm DCR 0603 Automotive T/R</t>
  </si>
  <si>
    <t>Receptacle USB - Type C 24 - SMD USB Connectors ROHS</t>
  </si>
  <si>
    <t>Conn RJ-25 F 6 POS 2.54mm Solder ST Thru-Hole 4 Terminal 1 Port Tray Cat 3</t>
  </si>
  <si>
    <t>CONN HEADER SMD 26POS 1.27MM</t>
  </si>
  <si>
    <t>CONN HEADER VERT 4POS 2.5MM</t>
  </si>
  <si>
    <t>Inductor Power Shielded Wirewound 220uH 20% 1KHz Ferrite 1.3A 310mOhm DCR Blister T/R</t>
  </si>
  <si>
    <t>1A 15uH ±20% 190mΩ SMD Power Inductors ROHS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</si>
  <si>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</si>
  <si>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</si>
  <si>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</si>
  <si>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</si>
  <si>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</si>
  <si>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MOSFET N-CH 80V 74A 8TDSON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</si>
  <si>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</si>
  <si>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</si>
  <si>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</si>
  <si>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</si>
  <si>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</si>
  <si>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0.033Ω ±1% 2W ±1800ppm/°C 2512 Low Resistors &amp; Current Sense Resistors - Surface Mount RoHS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</si>
  <si>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</si>
  <si>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</si>
  <si>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</si>
  <si>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</si>
  <si>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</si>
  <si>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</si>
  <si>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</si>
  <si>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</si>
  <si>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</si>
  <si>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</si>
  <si>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</si>
  <si>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</si>
  <si>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</si>
  <si>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RES SMD 1M OHM 1% 1/20W 0201</t>
  </si>
  <si>
    <t>Res SMD 0603 90.9K Ohm 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</si>
  <si>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</si>
  <si>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</si>
  <si>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1K OHM 1% 1/10W 0603</t>
  </si>
  <si>
    <t>RES SMD 10K Ohm 1% 1/10W 0603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</si>
  <si>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</si>
  <si>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</si>
  <si>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</si>
  <si>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</si>
  <si>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6UDFN</t>
  </si>
  <si>
    <t>3.5V to 36V, 3A Synchronous Step-Down Voltage Converter 16-HTSSOP -40 to 125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</si>
  <si>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</si>
  <si>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</si>
  <si>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</si>
  <si>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</si>
  <si>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3000VRMS 4CH 16SSOP</t>
  </si>
  <si>
    <t>DGTL ISO 600VRMS 6CH GP 16SOIC</t>
  </si>
  <si>
    <t>IC BUS BUFFER TRI-ST QD 14TSSOP</t>
  </si>
  <si>
    <t>Footprint</t>
  </si>
  <si>
    <t>UCD1H221MNL1GS</t>
  </si>
  <si>
    <t>Cap 0603</t>
  </si>
  <si>
    <t>Cap 0402</t>
  </si>
  <si>
    <t>Cap0805</t>
  </si>
  <si>
    <t>VKME1451J221MV</t>
  </si>
  <si>
    <t>Cap1210</t>
  </si>
  <si>
    <t>Cap1206</t>
  </si>
  <si>
    <t>CAP- 2917</t>
  </si>
  <si>
    <t>VT1H471MI135000CE0</t>
  </si>
  <si>
    <t>CUS10S30,H3F</t>
  </si>
  <si>
    <t>SMA</t>
  </si>
  <si>
    <t>SOD-123W</t>
  </si>
  <si>
    <t>0685H9150-01</t>
  </si>
  <si>
    <t>MPZ1608S121ATDH5</t>
  </si>
  <si>
    <t>MC-318</t>
  </si>
  <si>
    <t>5520425-2</t>
  </si>
  <si>
    <t>M55-7012642R</t>
  </si>
  <si>
    <t>B4B-XH-A(LF)(SN)</t>
  </si>
  <si>
    <t>SLF12575T-221M1R3-PF</t>
  </si>
  <si>
    <t>MPIT4018-150M-LF</t>
  </si>
  <si>
    <t>LTST-G683GEBW</t>
  </si>
  <si>
    <t>LED 0402</t>
  </si>
  <si>
    <t>PRT-10474</t>
  </si>
  <si>
    <t>TEST POINT</t>
  </si>
  <si>
    <t>HDR1X2</t>
  </si>
  <si>
    <t>8-PowerTDFN</t>
  </si>
  <si>
    <t>Res0603</t>
  </si>
  <si>
    <t>RES 2512</t>
  </si>
  <si>
    <t>Res-0201</t>
  </si>
  <si>
    <t>RES-0603</t>
  </si>
  <si>
    <t>Solder Bridge</t>
  </si>
  <si>
    <t>Tactile Switch 13mm Actuator</t>
  </si>
  <si>
    <t>LM5160ADNTR</t>
  </si>
  <si>
    <t>6-UDFN (3x3)</t>
  </si>
  <si>
    <t>HTSSOP-16</t>
  </si>
  <si>
    <t>TPS60150DRVR</t>
  </si>
  <si>
    <t>SOIC-8</t>
  </si>
  <si>
    <t>48-tqfp-ep (7x7)</t>
  </si>
  <si>
    <t>SOT-23-6</t>
  </si>
  <si>
    <t>ISO7741QDBQQ1</t>
  </si>
  <si>
    <t>MAX14850ASE+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</si>
  <si>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</si>
  <si>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</si>
  <si>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</si>
  <si>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</si>
  <si>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</si>
  <si>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</si>
  <si>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</si>
  <si>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CL10A106MA8NRNC</t>
  </si>
  <si>
    <t>CC0603KRX7R9BB823</t>
  </si>
  <si>
    <t>CC0603KRX7R0BB104</t>
  </si>
  <si>
    <t>08051C224K4T2A</t>
  </si>
  <si>
    <t>CGA3E2X7R2A223K080AA</t>
  </si>
  <si>
    <t>CL05B104KB54PNC</t>
  </si>
  <si>
    <t>UMK107B7474KA-TR</t>
  </si>
  <si>
    <t>CL10A475KA8NQNC</t>
  </si>
  <si>
    <t>CC0603KRX7R9BB222</t>
  </si>
  <si>
    <t>HMK325C7475KN-TE</t>
  </si>
  <si>
    <t>CC0603JRNPO9BN680</t>
  </si>
  <si>
    <t>GRM31CR61E476ME44L</t>
  </si>
  <si>
    <t>CC0603KRX7R9BB203</t>
  </si>
  <si>
    <t>TAJE107M025RNJ</t>
  </si>
  <si>
    <t>CC0603KRX7R9BB471</t>
  </si>
  <si>
    <t>C2012X7S2A105K125AB</t>
  </si>
  <si>
    <t>CL10B102KC8NNNC</t>
  </si>
  <si>
    <t>PMEG3010ER,115</t>
  </si>
  <si>
    <t>XZVG68W-2</t>
  </si>
  <si>
    <t>BSC072N08NS5ATMA1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</si>
  <si>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</si>
  <si>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</si>
  <si>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</si>
  <si>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</si>
  <si>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</si>
  <si>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</si>
  <si>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</si>
  <si>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</si>
  <si>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</si>
  <si>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</si>
  <si>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</si>
  <si>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</si>
  <si>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</si>
  <si>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RT0603FRE07127KL</t>
  </si>
  <si>
    <t>RC0603JR-07100KL</t>
  </si>
  <si>
    <t>RC0603FR-0751RL</t>
  </si>
  <si>
    <t>RC0603FR-072KL</t>
  </si>
  <si>
    <t>ERA-3AEB5112V</t>
  </si>
  <si>
    <t>RC0201FR-071ML</t>
  </si>
  <si>
    <t>ERJ-3EKF9092V</t>
  </si>
  <si>
    <t>RC0603FR-071KL</t>
  </si>
  <si>
    <t>RC0603FR-0710KL</t>
  </si>
  <si>
    <t>NCP708MU330TAG</t>
  </si>
  <si>
    <t>LM43603PWPR</t>
  </si>
  <si>
    <t>MC34063ADR</t>
  </si>
  <si>
    <t>TMC5160A-TA-T</t>
  </si>
  <si>
    <t>MAX4236EUT+T</t>
  </si>
  <si>
    <t>Manufacturer</t>
  </si>
  <si>
    <t>Nichicon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</si>
  <si>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</si>
  <si>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</si>
  <si>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</si>
  <si>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</si>
  <si>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</si>
  <si>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</si>
  <si>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</si>
  <si>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</si>
  <si>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</si>
  <si>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</si>
  <si>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</si>
  <si>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</si>
  <si>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</si>
  <si>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</si>
  <si>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TE Connectivity</t>
  </si>
  <si>
    <t>Harwin</t>
  </si>
  <si>
    <t>JST</t>
  </si>
  <si>
    <t>microgate</t>
  </si>
  <si>
    <t>Vishay Lite-On</t>
  </si>
  <si>
    <t>SunLED</t>
  </si>
  <si>
    <t>SparkFun</t>
  </si>
  <si>
    <t>Infineon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</si>
  <si>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</si>
  <si>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</si>
  <si>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</si>
  <si>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</si>
  <si>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</si>
  <si>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</si>
  <si>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</si>
  <si>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</si>
  <si>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ON Semiconductor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</si>
  <si>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</si>
  <si>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</si>
  <si>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</si>
  <si>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</si>
  <si>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</si>
  <si>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</si>
  <si>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</si>
  <si>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</si>
  <si>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</si>
  <si>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</si>
  <si>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</si>
  <si>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</si>
  <si>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</si>
  <si>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</si>
  <si>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</si>
  <si>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</si>
  <si>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</si>
  <si>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4.7uF</t>
  </si>
  <si>
    <t>68pF</t>
  </si>
  <si>
    <t>47uF</t>
  </si>
  <si>
    <t>20nF</t>
  </si>
  <si>
    <t>100uF</t>
  </si>
  <si>
    <t>470uF</t>
  </si>
  <si>
    <t>470pF</t>
  </si>
  <si>
    <t>1nF</t>
  </si>
  <si>
    <t>SSL110A</t>
  </si>
  <si>
    <t>SS24A</t>
  </si>
  <si>
    <t>220uH</t>
  </si>
  <si>
    <t>15uH</t>
  </si>
  <si>
    <t>Test Point</t>
  </si>
  <si>
    <t>5.1K</t>
  </si>
  <si>
    <t>3.9K</t>
  </si>
  <si>
    <t>7.87k</t>
  </si>
  <si>
    <t>0R</t>
  </si>
  <si>
    <t>47R</t>
  </si>
  <si>
    <t>33m</t>
  </si>
  <si>
    <t>150R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</si>
  <si>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</si>
  <si>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</si>
  <si>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</si>
  <si>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</si>
  <si>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</si>
  <si>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</si>
  <si>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</si>
  <si>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</si>
  <si>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</si>
  <si>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</si>
  <si>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2K</t>
  </si>
  <si>
    <t>51.1K</t>
  </si>
  <si>
    <t>1M</t>
  </si>
  <si>
    <t>90.9K</t>
  </si>
  <si>
    <t>1.2K</t>
  </si>
  <si>
    <t>0.33R</t>
  </si>
  <si>
    <t>1K</t>
  </si>
  <si>
    <t>10K</t>
  </si>
  <si>
    <t>Quantity</t>
  </si>
  <si>
    <t>Custom</t>
  </si>
  <si>
    <t>IND 0603</t>
  </si>
  <si>
    <t>6-SON</t>
  </si>
  <si>
    <t>16-SSOP</t>
  </si>
  <si>
    <t>16-SOIC</t>
  </si>
  <si>
    <t>14-TSSOP</t>
  </si>
  <si>
    <t>-</t>
  </si>
  <si>
    <t>--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</si>
  <si>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</si>
  <si>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</si>
  <si>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</si>
  <si>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</si>
  <si>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</si>
  <si>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</si>
  <si>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</si>
  <si>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</si>
  <si>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</si>
  <si>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</si>
  <si>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</si>
  <si>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</si>
  <si>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</si>
  <si>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</si>
  <si>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CRH2512FR033E04Z</t>
  </si>
  <si>
    <t>0603WAF1201T5E</t>
  </si>
  <si>
    <t>RTT03R330FTP</t>
  </si>
  <si>
    <t>Top_Board</t>
  </si>
  <si>
    <t>Smart Motors</t>
  </si>
  <si>
    <t>Bill of Materials for Project (Smart Motors)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</si>
  <si>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</si>
  <si>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</si>
  <si>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</si>
  <si>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</si>
  <si>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</si>
  <si>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</si>
  <si>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</si>
  <si>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C116211</t>
  </si>
  <si>
    <t>LCSC</t>
  </si>
  <si>
    <t>C1591</t>
  </si>
  <si>
    <t>C327025</t>
  </si>
  <si>
    <t>C386109</t>
  </si>
  <si>
    <t>C86017</t>
  </si>
  <si>
    <t>C14664</t>
  </si>
  <si>
    <t>C96446</t>
  </si>
  <si>
    <t>C107100</t>
  </si>
  <si>
    <t>C113803</t>
  </si>
  <si>
    <t>C513710</t>
  </si>
  <si>
    <t>CC0805KKX7R0BB224</t>
  </si>
  <si>
    <t>TCC0603X7R223K101CT</t>
  </si>
  <si>
    <t>C376821</t>
  </si>
  <si>
    <t>C487391</t>
  </si>
  <si>
    <t>C307331</t>
  </si>
  <si>
    <t>C16, C18, C19, C21, C26, C27, C28, C31</t>
  </si>
  <si>
    <t>C92847</t>
  </si>
  <si>
    <t>C69335</t>
  </si>
  <si>
    <t>CC0402KRX7R0BB102</t>
  </si>
  <si>
    <t>C527013</t>
  </si>
  <si>
    <t>C107082</t>
  </si>
  <si>
    <t>C697607</t>
  </si>
  <si>
    <t>C62782</t>
  </si>
  <si>
    <t>C403725</t>
  </si>
  <si>
    <t>C282065</t>
  </si>
  <si>
    <t>C7230</t>
  </si>
  <si>
    <t>C191227</t>
  </si>
  <si>
    <t>C107092</t>
  </si>
  <si>
    <t>C2991905</t>
  </si>
  <si>
    <t>C0805R105K101TDF</t>
  </si>
  <si>
    <t>C153291</t>
  </si>
  <si>
    <t>C146335</t>
  </si>
  <si>
    <t>C698870</t>
  </si>
  <si>
    <t>C842786</t>
  </si>
  <si>
    <t>Design change required</t>
  </si>
  <si>
    <t>PMEG3010EP,115</t>
  </si>
  <si>
    <t>C552865</t>
  </si>
  <si>
    <t>12D2150E</t>
  </si>
  <si>
    <t>C182976</t>
  </si>
  <si>
    <t>C307770</t>
  </si>
  <si>
    <t>MC-318FB</t>
  </si>
  <si>
    <t>C2977724</t>
  </si>
  <si>
    <t>5520425-3</t>
  </si>
  <si>
    <t>C305971</t>
  </si>
  <si>
    <t>Mouser</t>
  </si>
  <si>
    <t>C144395</t>
  </si>
  <si>
    <t>C93225</t>
  </si>
  <si>
    <t>C281265</t>
  </si>
  <si>
    <t>Chipmall</t>
  </si>
  <si>
    <t>NACSemi</t>
  </si>
  <si>
    <t>Available for Lower cost in China</t>
  </si>
  <si>
    <t>DO NOT MOUNT</t>
  </si>
  <si>
    <t>AO4882-MS</t>
  </si>
  <si>
    <t>C2847038</t>
  </si>
  <si>
    <r>
      <t xml:space="preserve">Quantity changed from 8/board to 4/board because alternate part is MOSFET 2N Array. </t>
    </r>
    <r>
      <rPr>
        <sz val="9"/>
        <color rgb="FFC00000"/>
        <rFont val="Calibri"/>
        <family val="2"/>
        <scheme val="minor"/>
      </rPr>
      <t>Design change required</t>
    </r>
  </si>
  <si>
    <t>C14677</t>
  </si>
  <si>
    <t>C114616</t>
  </si>
  <si>
    <t>C322001</t>
  </si>
  <si>
    <t>C100044</t>
  </si>
  <si>
    <t>C114623</t>
  </si>
  <si>
    <t>LR2512-22R033F4</t>
  </si>
  <si>
    <t>C2681032</t>
  </si>
  <si>
    <t>C114608</t>
  </si>
  <si>
    <t>C137801</t>
  </si>
  <si>
    <t>C137798</t>
  </si>
  <si>
    <t>C227561</t>
  </si>
  <si>
    <t>C141685</t>
  </si>
  <si>
    <t>ARG03FTC1273</t>
  </si>
  <si>
    <t>C217715</t>
  </si>
  <si>
    <t>C100048</t>
  </si>
  <si>
    <r>
      <t xml:space="preserve">R30, </t>
    </r>
    <r>
      <rPr>
        <sz val="9"/>
        <color rgb="FFC00000"/>
        <rFont val="Calibri"/>
        <family val="2"/>
        <scheme val="minor"/>
      </rPr>
      <t>R31</t>
    </r>
  </si>
  <si>
    <t>C114628</t>
  </si>
  <si>
    <t>Two different part numbers for 100K merged into single part number. Changes highlighted</t>
  </si>
  <si>
    <r>
      <t xml:space="preserve">R14, R15, R16, R17, R18, R19, R20, R26, </t>
    </r>
    <r>
      <rPr>
        <sz val="9"/>
        <color rgb="FFC00000"/>
        <rFont val="Calibri"/>
        <family val="2"/>
        <scheme val="minor"/>
      </rPr>
      <t>R34</t>
    </r>
  </si>
  <si>
    <t>Two different part numbers for 150R merged into single part number. Changes highlighted</t>
  </si>
  <si>
    <t>C105576</t>
  </si>
  <si>
    <t>TME</t>
  </si>
  <si>
    <t>C295786</t>
  </si>
  <si>
    <t>C22765</t>
  </si>
  <si>
    <t>C103893</t>
  </si>
  <si>
    <t>C22548</t>
  </si>
  <si>
    <t>C98220</t>
  </si>
  <si>
    <t>Winsource</t>
  </si>
  <si>
    <t>TLV75733PDBVR</t>
  </si>
  <si>
    <t>C485517</t>
  </si>
  <si>
    <t>Design change required. May cause change in some other misc components</t>
  </si>
  <si>
    <t>BD9876AEFJ-E2</t>
  </si>
  <si>
    <t>C79958</t>
  </si>
  <si>
    <t>C100023</t>
  </si>
  <si>
    <t>C516354</t>
  </si>
  <si>
    <t>Need confirmation from client regarding price</t>
  </si>
  <si>
    <t>ISO7221ADR</t>
  </si>
  <si>
    <t>C28037</t>
  </si>
  <si>
    <t>Design change required. May cause change in some other misc components. Quantity also changed from 1/board to 2/board</t>
  </si>
  <si>
    <t>ISO6761FDWR</t>
  </si>
  <si>
    <t>Digikey</t>
  </si>
  <si>
    <t>C7042</t>
  </si>
  <si>
    <t>SUM</t>
  </si>
  <si>
    <t>PER BOARD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</si>
</sst>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7" fillId="2" borderId="21" xfId="0" applyFont="1" applyFill="1" applyBorder="1" applyAlignment="1">
      <alignment horizontal="center" vertical="center" wrapText="1"/>
    </xf>
    <xf numFmtId="0" fontId="19" fillId="2" borderId="17" xfId="1" applyFill="1" applyBorder="1" applyAlignment="1">
      <alignment horizontal="center" vertical="center" wrapText="1"/>
    </xf>
    <xf numFmtId="0" fontId="19" fillId="4" borderId="18" xfId="1" applyFill="1" applyBorder="1" applyAlignment="1">
      <alignment horizontal="center" vertical="center" wrapText="1"/>
    </xf>
    <xf numFmtId="1" fontId="17" fillId="2" borderId="5" xfId="0" applyNumberFormat="1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9" fillId="6" borderId="17" xfId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9" fillId="6" borderId="18" xfId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8" borderId="14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9" fillId="8" borderId="17" xfId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9" fillId="8" borderId="18" xfId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23" fillId="3" borderId="10" xfId="0" applyFont="1" applyFill="1" applyBorder="1"/>
    <xf numFmtId="0" fontId="23" fillId="3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ultilayer-Ceramic-Capacitors-MLCC-SMD-SMT_Samsung-Electro-Mechanics-CL10B102KC8NNNC_C153291.html" TargetMode="External"/><Relationship Id="rId21" Type="http://schemas.openxmlformats.org/officeDocument/2006/relationships/hyperlink" Target="https://www.lcsc.com/product-detail/Multilayer-Ceramic-Capacitors-MLCC-SMD-SMT_YAGEO-CC0603KRX7R9BB203_C282065.html" TargetMode="External"/><Relationship Id="rId42" Type="http://schemas.openxmlformats.org/officeDocument/2006/relationships/hyperlink" Target="https://eu.mouser.com/ProductDetail/Wurth-Elektronik/61300211121?qs=t4813l51qx%252B1A5GYDQxPlw%3D%3D" TargetMode="External"/><Relationship Id="rId47" Type="http://schemas.openxmlformats.org/officeDocument/2006/relationships/hyperlink" Target="https://www.lcsc.com/product-detail/Chip-Resistor-Surface-Mount_YAGEO-RC0603FR-070RL_C100044.html" TargetMode="External"/><Relationship Id="rId63" Type="http://schemas.openxmlformats.org/officeDocument/2006/relationships/hyperlink" Target="https://www.lcsc.com/product-detail/Chip-Resistor-Surface-Mount_YAGEO-RC0201FR-071ML_C295786.html" TargetMode="External"/><Relationship Id="rId68" Type="http://schemas.openxmlformats.org/officeDocument/2006/relationships/hyperlink" Target="https://www.lcsc.com/product-detail/Chip-Resistor-Surface-Mount_YAGEO-RC0603FR-0710KL_C98220.html" TargetMode="External"/><Relationship Id="rId16" Type="http://schemas.openxmlformats.org/officeDocument/2006/relationships/hyperlink" Target="https://www.lcsc.com/product-detail/Multilayer-Ceramic-Capacitors-MLCC-SMD-SMT_YAGEO-CC0402KRX7R0BB102_C527013.html" TargetMode="External"/><Relationship Id="rId11" Type="http://schemas.openxmlformats.org/officeDocument/2006/relationships/hyperlink" Target="https://www.lcsc.com/product-detail/Multilayer-Ceramic-Capacitors-MLCC-SMD-SMT_CCTC-TCC0603X7R223K101CT_C376821.html" TargetMode="External"/><Relationship Id="rId32" Type="http://schemas.openxmlformats.org/officeDocument/2006/relationships/hyperlink" Target="https://www.lcsc.com/product-detail/Ferrite-Beads_TDK-MPZ1608S121ATDH5_C307770.html" TargetMode="External"/><Relationship Id="rId37" Type="http://schemas.openxmlformats.org/officeDocument/2006/relationships/hyperlink" Target="https://www.lcsc.com/product-detail/Power-Inductors_TDK-SLF12575T-221M1R3-PF_C93225.html" TargetMode="External"/><Relationship Id="rId53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58" Type="http://schemas.openxmlformats.org/officeDocument/2006/relationships/hyperlink" Target="https://www.lcsc.com/product-detail/Chip-Resistor-Surface-Mount_Viking-Tech-ARG03FTC1273_C217715.html" TargetMode="External"/><Relationship Id="rId74" Type="http://schemas.openxmlformats.org/officeDocument/2006/relationships/hyperlink" Target="https://www.lcsc.com/product-detail/DC-DC-Converters_Texas-Instruments-MC34063ADR_C100023.html" TargetMode="External"/><Relationship Id="rId79" Type="http://schemas.openxmlformats.org/officeDocument/2006/relationships/hyperlink" Target="https://www.lcsc.com/product-detail/Buffers-Drivers_Texas-Instruments-SN74LVTH125PWR_C7042.html" TargetMode="External"/><Relationship Id="rId5" Type="http://schemas.openxmlformats.org/officeDocument/2006/relationships/hyperlink" Target="https://www.lcsc.com/product-detail/Multilayer-Ceramic-Capacitors-MLCC-SMD-SMT_Murata-Electronics-GRM188R6YA225KA12D_C86017.html" TargetMode="External"/><Relationship Id="rId61" Type="http://schemas.openxmlformats.org/officeDocument/2006/relationships/hyperlink" Target="https://www.lcsc.com/product-detail/Chip-Resistor-Surface-Mount_YAGEO-RC0603FR-072KL_C105576.html" TargetMode="External"/><Relationship Id="rId19" Type="http://schemas.openxmlformats.org/officeDocument/2006/relationships/hyperlink" Target="https://www.lcsc.com/product-detail/Multilayer-Ceramic-Capacitors-MLCC-SMD-SMT_YAGEO-CC0603JRNPO9BN680_C62782.html" TargetMode="External"/><Relationship Id="rId14" Type="http://schemas.openxmlformats.org/officeDocument/2006/relationships/hyperlink" Target="https://www.lcsc.com/product-detail/Multilayer-Ceramic-Capacitors-MLCC-SMD-SMT_Taiyo-Yuden-UMK107B7474KA-TR_C92847.html" TargetMode="External"/><Relationship Id="rId22" Type="http://schemas.openxmlformats.org/officeDocument/2006/relationships/hyperlink" Target="https://www.lcsc.com/product-detail/Tantalum-Capacitors_Kyocera-AVX-TAJE107M025RNJ_C7230.html" TargetMode="External"/><Relationship Id="rId27" Type="http://schemas.openxmlformats.org/officeDocument/2006/relationships/hyperlink" Target="https://www.lcsc.com/product-detail/Schottky-Barrier-Diodes-SBD_TOSHIBA-CUS10S30-H3F_C146335.html" TargetMode="External"/><Relationship Id="rId30" Type="http://schemas.openxmlformats.org/officeDocument/2006/relationships/hyperlink" Target="https://www.lcsc.com/product-detail/Schottky-Barrier-Diodes-SBD_Nexperia-PMEG3010EP-115_C552865.html" TargetMode="External"/><Relationship Id="rId35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43" Type="http://schemas.openxmlformats.org/officeDocument/2006/relationships/hyperlink" Target="https://www.lcsc.com/product-detail/MOSFETs_MSKSEMI-AO4882-MS_C2847038.html" TargetMode="External"/><Relationship Id="rId48" Type="http://schemas.openxmlformats.org/officeDocument/2006/relationships/hyperlink" Target="https://www.lcsc.com/product-detail/Chip-Resistor-Surface-Mount_YAGEO-RC0603FR-0747RL_C114623.html" TargetMode="External"/><Relationship Id="rId56" Type="http://schemas.openxmlformats.org/officeDocument/2006/relationships/hyperlink" Target="https://www.lcsc.com/product-detail/Chip-Resistor-Surface-Mount_YAGEO-AC0603FR-0711K8L_C227561.html" TargetMode="External"/><Relationship Id="rId64" Type="http://schemas.openxmlformats.org/officeDocument/2006/relationships/hyperlink" Target="https://www.chipmall.com/product_detail/PANASONIC/SMD-Resistors-Chip-Resistors/ERJ3EKF9092V_4698870.html?utm_source=digipart&amp;utm_medium=buyNow" TargetMode="External"/><Relationship Id="rId69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77" Type="http://schemas.openxmlformats.org/officeDocument/2006/relationships/hyperlink" Target="https://www.lcsc.com/product-detail/Digital-Isolators_Texas-Instruments-ISO7221ADR_C28037.html" TargetMode="External"/><Relationship Id="rId8" Type="http://schemas.openxmlformats.org/officeDocument/2006/relationships/hyperlink" Target="https://www.lcsc.com/product-detail/Multilayer-Ceramic-Capacitors-MLCC-SMD-SMT_YAGEO-CC0603KRX7R9BB823_C107100.html" TargetMode="External"/><Relationship Id="rId51" Type="http://schemas.openxmlformats.org/officeDocument/2006/relationships/hyperlink" Target="https://www.chipmall.com/product_detail/PANASONIC/SMD-Resistors-Chip-Resistors/ERJ3EKF3011V_4658941.html?utm_source=digipart&amp;utm_medium=buyNow" TargetMode="External"/><Relationship Id="rId72" Type="http://schemas.openxmlformats.org/officeDocument/2006/relationships/hyperlink" Target="https://www.lcsc.com/product-detail/DC-DC-Converters_ROHM-Semicon-BD9876AEFJ-E2_C79958.html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YAGEO-CC0402KRX7R8BB103_C327025.html" TargetMode="External"/><Relationship Id="rId12" Type="http://schemas.openxmlformats.org/officeDocument/2006/relationships/hyperlink" Target="https://www.lcsc.com/product-detail/Aluminum-Electrolytic-Capacitors-SMD_Ymin-VKME1451J221MV_C487391.html" TargetMode="External"/><Relationship Id="rId17" Type="http://schemas.openxmlformats.org/officeDocument/2006/relationships/hyperlink" Target="https://www.lcsc.com/product-detail/Multilayer-Ceramic-Capacitors-MLCC-SMD-SMT_YAGEO-CC0603KRX7R9BB222_C107082.html" TargetMode="External"/><Relationship Id="rId25" Type="http://schemas.openxmlformats.org/officeDocument/2006/relationships/hyperlink" Target="https://www.lcsc.com/product-detail/Multilayer-Ceramic-Capacitors-MLCC-SMD-SMT_IHHEC-HOLY-STONE-ENTERPRISE-CO-LTD-C0805R105K101TDF_C2991905.html" TargetMode="External"/><Relationship Id="rId33" Type="http://schemas.openxmlformats.org/officeDocument/2006/relationships/hyperlink" Target="https://www.lcsc.com/product-detail/USB-Connectors_SOFNG-MC-318FB_C2977724.html" TargetMode="External"/><Relationship Id="rId38" Type="http://schemas.openxmlformats.org/officeDocument/2006/relationships/hyperlink" Target="https://www.lcsc.com/product-detail/Power-Inductors_microgate-MPIT4018-150M-LF_C281265.html" TargetMode="External"/><Relationship Id="rId46" Type="http://schemas.openxmlformats.org/officeDocument/2006/relationships/hyperlink" Target="https://www.lcsc.com/product-detail/Chip-Resistor-Surface-Mount_FH-Guangdong-Fenghua-Advanced-Tech-RS-03K7871FT_C322001.html" TargetMode="External"/><Relationship Id="rId59" Type="http://schemas.openxmlformats.org/officeDocument/2006/relationships/hyperlink" Target="https://www.lcsc.com/product-detail/Chip-Resistor-Surface-Mount_YAGEO-RC0603JR-07100KL_C100048.html" TargetMode="External"/><Relationship Id="rId67" Type="http://schemas.openxmlformats.org/officeDocument/2006/relationships/hyperlink" Target="https://www.lcsc.com/product-detail/Chip-Resistor-Surface-Mount_YAGEO-RC0603FR-071KL_C22548.html" TargetMode="External"/><Relationship Id="rId20" Type="http://schemas.openxmlformats.org/officeDocument/2006/relationships/hyperlink" Target="https://www.lcsc.com/product-detail/Multilayer-Ceramic-Capacitors-MLCC-SMD-SMT_Murata-Electronics-GRM31CR61E476ME44L_C403725.html" TargetMode="External"/><Relationship Id="rId41" Type="http://schemas.openxmlformats.org/officeDocument/2006/relationships/hyperlink" Target="https://eu.mouser.com/ProductDetail/SparkFun/PRT-10474?qs=WyAARYrbSnYJaRDMiD9g2w%3D%3D" TargetMode="External"/><Relationship Id="rId54" Type="http://schemas.openxmlformats.org/officeDocument/2006/relationships/hyperlink" Target="https://www.lcsc.com/product-detail/Chip-Resistor-Surface-Mount_YAGEO-RC0603FR-0712K4L_C137798.html" TargetMode="External"/><Relationship Id="rId62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70" Type="http://schemas.openxmlformats.org/officeDocument/2006/relationships/hyperlink" Target="https://www.win-source.net/texas-instruments-lm5160adntr.html" TargetMode="External"/><Relationship Id="rId75" Type="http://schemas.openxmlformats.org/officeDocument/2006/relationships/hyperlink" Target="https://www.lcsc.com/product-detail/Motor-Driver-ICs_TRINAMIC-Motion-Control-GmbH-TMC5160A-TA-T_C516354.html" TargetMode="Externa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5" Type="http://schemas.openxmlformats.org/officeDocument/2006/relationships/hyperlink" Target="https://www.lcsc.com/product-detail/Multilayer-Ceramic-Capacitors-MLCC-SMD-SMT_Samsung-Electro-Mechanics-CL10A475KA8NQNC_C69335.html" TargetMode="External"/><Relationship Id="rId23" Type="http://schemas.openxmlformats.org/officeDocument/2006/relationships/hyperlink" Target="https://www.lcsc.com/product-detail/Aluminum-Electrolytic-Capacitors-SMD_Changzhou-Huawei-Elec-VT1H471MI135000CE0_C191227.html" TargetMode="External"/><Relationship Id="rId28" Type="http://schemas.openxmlformats.org/officeDocument/2006/relationships/hyperlink" Target="https://www.lcsc.com/product-detail/Schottky-Barrier-Diodes-SBD_Yangzhou-Yangjie-Elec-Tech-SSL110A_C698870.html" TargetMode="External"/><Relationship Id="rId36" Type="http://schemas.openxmlformats.org/officeDocument/2006/relationships/hyperlink" Target="https://www.lcsc.com/product-detail/Wire-To-Board-Wire-To-Wire-Connector_JST-Sales-America-B4B-XH-A-LF-SN_C144395.html" TargetMode="External"/><Relationship Id="rId49" Type="http://schemas.openxmlformats.org/officeDocument/2006/relationships/hyperlink" Target="https://www.lcsc.com/product-detail/Current-Sense-Resistors-Shunt-Resistors_RALEC-LR2512-22R033F4_C2681032.html" TargetMode="External"/><Relationship Id="rId57" Type="http://schemas.openxmlformats.org/officeDocument/2006/relationships/hyperlink" Target="https://www.lcsc.com/product-detail/Chip-Resistor-Surface-Mount_YAGEO-RC0603FR-07105KL_C141685.html" TargetMode="External"/><Relationship Id="rId10" Type="http://schemas.openxmlformats.org/officeDocument/2006/relationships/hyperlink" Target="https://www.lcsc.com/product-detail/Multilayer-Ceramic-Capacitors-MLCC-SMD-SMT_YAGEO-CC0805KKX7R0BB224_C513710.html" TargetMode="External"/><Relationship Id="rId31" Type="http://schemas.openxmlformats.org/officeDocument/2006/relationships/hyperlink" Target="https://www.lcsc.com/product-detail/Fuses_Shenzhen-lanson-Elec-12D2150E_C182976.html" TargetMode="External"/><Relationship Id="rId44" Type="http://schemas.openxmlformats.org/officeDocument/2006/relationships/hyperlink" Target="https://www.lcsc.com/product-detail/Chip-Resistor-Surface-Mount_YAGEO-RC0603JR-075K1L_C14677.html" TargetMode="External"/><Relationship Id="rId52" Type="http://schemas.openxmlformats.org/officeDocument/2006/relationships/hyperlink" Target="https://www.lcsc.com/product-detail/Chip-Resistor-Surface-Mount_YAGEO-RC0603FR-0711KL_C137801.html" TargetMode="External"/><Relationship Id="rId60" Type="http://schemas.openxmlformats.org/officeDocument/2006/relationships/hyperlink" Target="https://www.lcsc.com/product-detail/Chip-Resistor-Surface-Mount_YAGEO-RC0603FR-0751RL_C114628.html" TargetMode="External"/><Relationship Id="rId65" Type="http://schemas.openxmlformats.org/officeDocument/2006/relationships/hyperlink" Target="https://www.lcsc.com/product-detail/Chip-Resistor-Surface-Mount_UNI-ROYAL-Uniroyal-Elec-0603WAF1201T5E_C22765.html" TargetMode="External"/><Relationship Id="rId73" Type="http://schemas.openxmlformats.org/officeDocument/2006/relationships/hyperlink" Target="https://www.win-source.net/pmic-voltage-regulators-dcdc-switching-regulators-tps60150drvr.html" TargetMode="External"/><Relationship Id="rId78" Type="http://schemas.openxmlformats.org/officeDocument/2006/relationships/hyperlink" Target="https://www.digikey.com/en/products/detail/texas-instruments/ISO6761FDWR/15853846?WT.z_cid=ref_neda_dkc_buynow&amp;utm_source=ecia&amp;utm_medium=aggregator&amp;utm_campaign=buynow" TargetMode="External"/><Relationship Id="rId81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Taiyo-Yuden-UMK105ABJ474KV-F_C386109.html" TargetMode="External"/><Relationship Id="rId9" Type="http://schemas.openxmlformats.org/officeDocument/2006/relationships/hyperlink" Target="https://www.lcsc.com/product-detail/Multilayer-Ceramic-Capacitors-MLCC-SMD-SMT_YAGEO-CC0603KRX7R0BB104_C113803.html" TargetMode="External"/><Relationship Id="rId13" Type="http://schemas.openxmlformats.org/officeDocument/2006/relationships/hyperlink" Target="https://www.lcsc.com/product-detail/Multilayer-Ceramic-Capacitors-MLCC-SMD-SMT_Samsung-Electro-Mechanics-CL05B104KB54PNC_C307331.html" TargetMode="External"/><Relationship Id="rId18" Type="http://schemas.openxmlformats.org/officeDocument/2006/relationships/hyperlink" Target="https://www.lcsc.com/product-detail/Multilayer-Ceramic-Capacitors-MLCC-SMD-SMT_Taiyo-Yuden-HMK325C7475KN-TE_C697607.html" TargetMode="External"/><Relationship Id="rId39" Type="http://schemas.openxmlformats.org/officeDocument/2006/relationships/hyperlink" Target="https://www.chipmall.com/product_detail/Lite-On/Standard-LEDs-SMD/LTST-G683GEBW_2867407.html?utm_source=digipart&amp;utm_medium=buyNow" TargetMode="External"/><Relationship Id="rId34" Type="http://schemas.openxmlformats.org/officeDocument/2006/relationships/hyperlink" Target="https://www.lcsc.com/product-detail/Ethernet-Connectors-Modular-Connectors-RJ45-RJ11_TE-Connectivity-5520425-3_C305971.html" TargetMode="External"/><Relationship Id="rId50" Type="http://schemas.openxmlformats.org/officeDocument/2006/relationships/hyperlink" Target="https://www.lcsc.com/product-detail/Chip-Resistor-Surface-Mount_YAGEO-RC0603FR-07150RL_C114608.html" TargetMode="External"/><Relationship Id="rId55" Type="http://schemas.openxmlformats.org/officeDocument/2006/relationships/hyperlink" Target="https://www.chipmall.com/product_detail/PANASONIC/SMD-Resistors-Chip-Resistors/ERJ3EKF1430V_4697579.html?utm_source=digipart&amp;utm_medium=buyNow" TargetMode="External"/><Relationship Id="rId76" Type="http://schemas.openxmlformats.org/officeDocument/2006/relationships/hyperlink" Target="https://www.win-source.net/linear-amplifiers-instrumentationop-ampsbuffer-amps-max4236eutt.html" TargetMode="External"/><Relationship Id="rId7" Type="http://schemas.openxmlformats.org/officeDocument/2006/relationships/hyperlink" Target="https://www.lcsc.com/product-detail/Multilayer-Ceramic-Capacitors-MLCC-SMD-SMT_Samsung-Electro-Mechanics-CL10A106MA8NRNC_C96446.html" TargetMode="External"/><Relationship Id="rId71" Type="http://schemas.openxmlformats.org/officeDocument/2006/relationships/hyperlink" Target="https://www.lcsc.com/product-detail/Linear-Voltage-Regulators-LDO_Texas-Instruments-TLV75733PDBVR_C485517.html" TargetMode="Externa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29" Type="http://schemas.openxmlformats.org/officeDocument/2006/relationships/hyperlink" Target="https://www.lcsc.com/product-detail/Schottky-Barrier-Diodes-SBD_FUXINSEMI-SS24A_C842786.html" TargetMode="External"/><Relationship Id="rId24" Type="http://schemas.openxmlformats.org/officeDocument/2006/relationships/hyperlink" Target="https://www.lcsc.com/product-detail/Multilayer-Ceramic-Capacitors-MLCC-SMD-SMT_YAGEO-CC0603KRX7R9BB471_C107092.html" TargetMode="External"/><Relationship Id="rId40" Type="http://schemas.openxmlformats.org/officeDocument/2006/relationships/hyperlink" Target="https://store.nacsemi.com/Products/Detail?part=XZVG68W-2&amp;stock=SUNL00000000051&amp;Mfr=SUNLED&amp;auth=y&amp;utm_campaign=listing&amp;utm_source=digipart&amp;utm_medium=aggregator&amp;utm_content=textlink" TargetMode="External"/><Relationship Id="rId45" Type="http://schemas.openxmlformats.org/officeDocument/2006/relationships/hyperlink" Target="https://www.lcsc.com/product-detail/Chip-Resistor-Surface-Mount_YAGEO-RC0603FR-073K9L_C114616.html" TargetMode="External"/><Relationship Id="rId66" Type="http://schemas.openxmlformats.org/officeDocument/2006/relationships/hyperlink" Target="https://www.lcsc.com/product-detail/Chip-Resistor-Surface-Mount_RALEC-RTT03R330FTP_C1038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3"/>
  <sheetViews>
    <sheetView tabSelected="1" topLeftCell="K76" workbookViewId="0">
      <selection activeCell="O99" sqref="O9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30.140625" customWidth="1"/>
    <col min="7" max="7" width="33.42578125" bestFit="1" customWidth="1"/>
    <col min="8" max="8" width="21.42578125" bestFit="1" customWidth="1"/>
    <col min="9" max="10" width="22.140625" customWidth="1"/>
    <col min="11" max="11" width="9.7109375" bestFit="1" customWidth="1"/>
    <col min="12" max="12" width="16.7109375" bestFit="1" customWidth="1"/>
    <col min="13" max="13" width="19.28515625" bestFit="1" customWidth="1"/>
    <col min="14" max="15" width="16.7109375" customWidth="1"/>
    <col min="16" max="16" width="19.7109375" bestFit="1" customWidth="1"/>
    <col min="17" max="17" width="20.28515625" bestFit="1" customWidth="1"/>
    <col min="18" max="18" width="29.42578125" customWidth="1"/>
  </cols>
  <sheetData>
    <row r="1" spans="1:18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88"/>
      <c r="L1" s="88"/>
      <c r="M1" s="88"/>
      <c r="N1" s="88"/>
      <c r="O1" s="88"/>
      <c r="P1" s="88"/>
      <c r="Q1" s="88"/>
      <c r="R1" s="88"/>
    </row>
    <row r="2" spans="1:18" ht="32.25" thickBot="1" x14ac:dyDescent="0.3">
      <c r="A2" s="1"/>
      <c r="B2" s="20"/>
      <c r="C2" s="46"/>
      <c r="D2" s="10" t="s">
        <v>0</v>
      </c>
      <c r="E2" s="10"/>
      <c r="F2" s="54" t="s">
        <v>382</v>
      </c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43"/>
    </row>
    <row r="3" spans="1:18" x14ac:dyDescent="0.25">
      <c r="A3" s="1"/>
      <c r="B3" s="21"/>
      <c r="C3" s="47"/>
      <c r="D3" s="12" t="s">
        <v>1</v>
      </c>
      <c r="E3" s="12"/>
      <c r="F3" s="55" t="s">
        <v>380</v>
      </c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89"/>
    </row>
    <row r="4" spans="1:18" x14ac:dyDescent="0.25">
      <c r="A4" s="1"/>
      <c r="B4" s="21"/>
      <c r="C4" s="47"/>
      <c r="D4" s="12" t="s">
        <v>2</v>
      </c>
      <c r="E4" s="12"/>
      <c r="F4" s="56" t="s">
        <v>381</v>
      </c>
      <c r="G4" s="13"/>
      <c r="H4" s="6"/>
      <c r="I4" s="6"/>
      <c r="J4" s="6"/>
      <c r="K4" s="6"/>
      <c r="L4" s="6"/>
      <c r="M4" s="62"/>
      <c r="N4" s="62"/>
      <c r="O4" s="62"/>
      <c r="P4" s="62"/>
      <c r="Q4" s="62"/>
      <c r="R4" s="90"/>
    </row>
    <row r="5" spans="1:18" x14ac:dyDescent="0.25">
      <c r="A5" s="1"/>
      <c r="B5" s="21"/>
      <c r="C5" s="47"/>
      <c r="D5" s="12" t="s">
        <v>3</v>
      </c>
      <c r="E5" s="12"/>
      <c r="F5" s="57"/>
      <c r="G5" s="14"/>
      <c r="H5" s="5"/>
      <c r="I5" s="5"/>
      <c r="J5" s="5"/>
      <c r="K5" s="5"/>
      <c r="L5" s="5"/>
      <c r="M5" s="62"/>
      <c r="N5" s="62"/>
      <c r="O5" s="62"/>
      <c r="P5" s="62"/>
      <c r="Q5" s="62"/>
      <c r="R5" s="90"/>
    </row>
    <row r="6" spans="1:18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5"/>
      <c r="M6" s="62"/>
      <c r="N6" s="62"/>
      <c r="O6" s="62"/>
      <c r="P6" s="62"/>
      <c r="Q6" s="62"/>
      <c r="R6" s="90"/>
    </row>
    <row r="7" spans="1:18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90"/>
    </row>
    <row r="8" spans="1:18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90"/>
    </row>
    <row r="9" spans="1:18" ht="15.75" thickBot="1" x14ac:dyDescent="0.3">
      <c r="A9" s="1"/>
      <c r="B9" s="29" t="s">
        <v>4</v>
      </c>
      <c r="C9" s="29" t="s">
        <v>373</v>
      </c>
      <c r="D9" s="29" t="s">
        <v>7</v>
      </c>
      <c r="E9" s="30" t="s">
        <v>87</v>
      </c>
      <c r="F9" s="29" t="s">
        <v>170</v>
      </c>
      <c r="G9" s="30" t="s">
        <v>213</v>
      </c>
      <c r="H9" s="29" t="s">
        <v>266</v>
      </c>
      <c r="I9" s="29" t="s">
        <v>383</v>
      </c>
      <c r="J9" s="29" t="s">
        <v>384</v>
      </c>
      <c r="K9" s="30" t="s">
        <v>301</v>
      </c>
      <c r="L9" s="29" t="s">
        <v>354</v>
      </c>
      <c r="M9" s="31" t="s">
        <v>385</v>
      </c>
      <c r="N9" s="31" t="s">
        <v>386</v>
      </c>
      <c r="O9" s="31" t="s">
        <v>387</v>
      </c>
      <c r="P9" s="31" t="s">
        <v>388</v>
      </c>
      <c r="Q9" s="31" t="s">
        <v>389</v>
      </c>
      <c r="R9" s="31" t="s">
        <v>363</v>
      </c>
    </row>
    <row r="10" spans="1:18" ht="15.75" thickBot="1" x14ac:dyDescent="0.3">
      <c r="A10" s="1"/>
      <c r="B10" s="53">
        <f>ROW(B10) - ROW($B$9)</f>
        <v>1</v>
      </c>
      <c r="C10" s="59" t="s">
        <v>364</v>
      </c>
      <c r="D10" s="37" t="s">
        <v>8</v>
      </c>
      <c r="E10" s="38" t="s">
        <v>88</v>
      </c>
      <c r="F10" s="37" t="s">
        <v>355</v>
      </c>
      <c r="G10" s="38" t="s">
        <v>171</v>
      </c>
      <c r="H10" s="37" t="s">
        <v>267</v>
      </c>
      <c r="I10" s="37" t="s">
        <v>361</v>
      </c>
      <c r="J10" s="37" t="s">
        <v>390</v>
      </c>
      <c r="K10" s="38" t="s">
        <v>302</v>
      </c>
      <c r="L10" s="37">
        <v>1</v>
      </c>
      <c r="M10" s="41">
        <f>L10*20</f>
        <v>20</v>
      </c>
      <c r="N10" s="41">
        <v>22</v>
      </c>
      <c r="O10" s="64" t="s">
        <v>391</v>
      </c>
      <c r="P10" s="41">
        <v>0.25869999999999999</v>
      </c>
      <c r="Q10" s="41">
        <f>P10*N10</f>
        <v>5.6913999999999998</v>
      </c>
      <c r="R10" s="41"/>
    </row>
    <row r="11" spans="1:18" ht="24.75" thickBot="1" x14ac:dyDescent="0.3">
      <c r="A11" s="1"/>
      <c r="B11" s="53">
        <f t="shared" ref="B11:B90" si="0">ROW(B11) - ROW($B$9)</f>
        <v>2</v>
      </c>
      <c r="C11" s="60" t="s">
        <v>364</v>
      </c>
      <c r="D11" s="39" t="s">
        <v>9</v>
      </c>
      <c r="E11" s="40" t="s">
        <v>89</v>
      </c>
      <c r="F11" s="39" t="s">
        <v>172</v>
      </c>
      <c r="G11" s="40" t="s">
        <v>214</v>
      </c>
      <c r="H11" s="39" t="s">
        <v>268</v>
      </c>
      <c r="I11" s="39" t="s">
        <v>361</v>
      </c>
      <c r="J11" s="39" t="s">
        <v>392</v>
      </c>
      <c r="K11" s="40" t="s">
        <v>303</v>
      </c>
      <c r="L11" s="39">
        <v>9</v>
      </c>
      <c r="M11" s="42">
        <f>L11*20</f>
        <v>180</v>
      </c>
      <c r="N11" s="42">
        <v>198</v>
      </c>
      <c r="O11" s="65" t="s">
        <v>391</v>
      </c>
      <c r="P11" s="42">
        <v>1.4E-3</v>
      </c>
      <c r="Q11" s="42">
        <f>N11*P11</f>
        <v>0.2772</v>
      </c>
      <c r="R11" s="42"/>
    </row>
    <row r="12" spans="1:18" ht="15.75" thickBot="1" x14ac:dyDescent="0.3">
      <c r="A12" s="1"/>
      <c r="B12" s="53">
        <f>ROW(B12) - ROW($B$9)</f>
        <v>3</v>
      </c>
      <c r="C12" s="61" t="s">
        <v>364</v>
      </c>
      <c r="D12" s="37" t="s">
        <v>10</v>
      </c>
      <c r="E12" s="38" t="s">
        <v>90</v>
      </c>
      <c r="F12" s="37" t="s">
        <v>173</v>
      </c>
      <c r="G12" s="38" t="s">
        <v>215</v>
      </c>
      <c r="H12" s="37" t="s">
        <v>269</v>
      </c>
      <c r="I12" s="37" t="s">
        <v>361</v>
      </c>
      <c r="J12" s="37" t="s">
        <v>393</v>
      </c>
      <c r="K12" s="38" t="s">
        <v>304</v>
      </c>
      <c r="L12" s="37">
        <v>1</v>
      </c>
      <c r="M12" s="41">
        <f t="shared" ref="M12:M72" si="1">L12*20</f>
        <v>20</v>
      </c>
      <c r="N12" s="41">
        <v>100</v>
      </c>
      <c r="O12" s="64" t="s">
        <v>391</v>
      </c>
      <c r="P12" s="41">
        <v>1.2999999999999999E-3</v>
      </c>
      <c r="Q12" s="41">
        <f t="shared" ref="Q12" si="2">P12*N12</f>
        <v>0.13</v>
      </c>
      <c r="R12" s="41"/>
    </row>
    <row r="13" spans="1:18" ht="15.75" thickBot="1" x14ac:dyDescent="0.3">
      <c r="A13" s="1"/>
      <c r="B13" s="53">
        <f t="shared" si="0"/>
        <v>4</v>
      </c>
      <c r="C13" s="60" t="s">
        <v>364</v>
      </c>
      <c r="D13" s="39" t="s">
        <v>11</v>
      </c>
      <c r="E13" s="40" t="s">
        <v>91</v>
      </c>
      <c r="F13" s="39" t="s">
        <v>173</v>
      </c>
      <c r="G13" s="40" t="s">
        <v>216</v>
      </c>
      <c r="H13" s="39" t="s">
        <v>270</v>
      </c>
      <c r="I13" s="39" t="s">
        <v>361</v>
      </c>
      <c r="J13" s="39" t="s">
        <v>394</v>
      </c>
      <c r="K13" s="40" t="s">
        <v>305</v>
      </c>
      <c r="L13" s="39">
        <v>2</v>
      </c>
      <c r="M13" s="42">
        <f t="shared" si="1"/>
        <v>40</v>
      </c>
      <c r="N13" s="42">
        <v>60</v>
      </c>
      <c r="O13" s="65" t="s">
        <v>391</v>
      </c>
      <c r="P13" s="42">
        <v>3.5900000000000001E-2</v>
      </c>
      <c r="Q13" s="42">
        <f t="shared" ref="Q13" si="3">N13*P13</f>
        <v>2.1539999999999999</v>
      </c>
      <c r="R13" s="42"/>
    </row>
    <row r="14" spans="1:18" ht="15.75" thickBot="1" x14ac:dyDescent="0.3">
      <c r="A14" s="1"/>
      <c r="B14" s="53">
        <f>ROW(B14) - ROW($B$9)</f>
        <v>5</v>
      </c>
      <c r="C14" s="61" t="s">
        <v>364</v>
      </c>
      <c r="D14" s="37" t="s">
        <v>12</v>
      </c>
      <c r="E14" s="38" t="s">
        <v>92</v>
      </c>
      <c r="F14" s="37" t="s">
        <v>172</v>
      </c>
      <c r="G14" s="38" t="s">
        <v>217</v>
      </c>
      <c r="H14" s="37" t="s">
        <v>271</v>
      </c>
      <c r="I14" s="37" t="s">
        <v>361</v>
      </c>
      <c r="J14" s="37" t="s">
        <v>395</v>
      </c>
      <c r="K14" s="38" t="s">
        <v>306</v>
      </c>
      <c r="L14" s="37">
        <v>9</v>
      </c>
      <c r="M14" s="41">
        <f t="shared" si="1"/>
        <v>180</v>
      </c>
      <c r="N14" s="41">
        <v>200</v>
      </c>
      <c r="O14" s="64" t="s">
        <v>391</v>
      </c>
      <c r="P14" s="41">
        <v>4.0899999999999999E-2</v>
      </c>
      <c r="Q14" s="41">
        <f t="shared" ref="Q14" si="4">P14*N14</f>
        <v>8.18</v>
      </c>
      <c r="R14" s="41"/>
    </row>
    <row r="15" spans="1:18" ht="15.75" thickBot="1" x14ac:dyDescent="0.3">
      <c r="A15" s="1"/>
      <c r="B15" s="53">
        <f t="shared" si="0"/>
        <v>6</v>
      </c>
      <c r="C15" s="60" t="s">
        <v>364</v>
      </c>
      <c r="D15" s="39" t="s">
        <v>13</v>
      </c>
      <c r="E15" s="40" t="s">
        <v>93</v>
      </c>
      <c r="F15" s="39" t="s">
        <v>172</v>
      </c>
      <c r="G15" s="40" t="s">
        <v>218</v>
      </c>
      <c r="H15" s="39" t="s">
        <v>269</v>
      </c>
      <c r="I15" s="39" t="s">
        <v>361</v>
      </c>
      <c r="J15" s="39" t="s">
        <v>396</v>
      </c>
      <c r="K15" s="40" t="s">
        <v>307</v>
      </c>
      <c r="L15" s="39">
        <v>1</v>
      </c>
      <c r="M15" s="42">
        <f t="shared" si="1"/>
        <v>20</v>
      </c>
      <c r="N15" s="42">
        <v>50</v>
      </c>
      <c r="O15" s="65" t="s">
        <v>391</v>
      </c>
      <c r="P15" s="42">
        <v>5.8999999999999999E-3</v>
      </c>
      <c r="Q15" s="42">
        <f t="shared" ref="Q15" si="5">N15*P15</f>
        <v>0.29499999999999998</v>
      </c>
      <c r="R15" s="42"/>
    </row>
    <row r="16" spans="1:18" ht="15.75" thickBot="1" x14ac:dyDescent="0.3">
      <c r="A16" s="1"/>
      <c r="B16" s="53">
        <f>ROW(B16) - ROW($B$9)</f>
        <v>7</v>
      </c>
      <c r="C16" s="61" t="s">
        <v>364</v>
      </c>
      <c r="D16" s="37" t="s">
        <v>14</v>
      </c>
      <c r="E16" s="38" t="s">
        <v>94</v>
      </c>
      <c r="F16" s="37" t="s">
        <v>172</v>
      </c>
      <c r="G16" s="38" t="s">
        <v>219</v>
      </c>
      <c r="H16" s="37" t="s">
        <v>268</v>
      </c>
      <c r="I16" s="37" t="s">
        <v>361</v>
      </c>
      <c r="J16" s="37" t="s">
        <v>397</v>
      </c>
      <c r="K16" s="38" t="s">
        <v>308</v>
      </c>
      <c r="L16" s="37">
        <v>4</v>
      </c>
      <c r="M16" s="41">
        <f t="shared" si="1"/>
        <v>80</v>
      </c>
      <c r="N16" s="41">
        <v>100</v>
      </c>
      <c r="O16" s="64" t="s">
        <v>391</v>
      </c>
      <c r="P16" s="41">
        <v>1.44E-2</v>
      </c>
      <c r="Q16" s="41">
        <f t="shared" ref="Q16" si="6">P16*N16</f>
        <v>1.44</v>
      </c>
      <c r="R16" s="41"/>
    </row>
    <row r="17" spans="1:18" ht="15.75" thickBot="1" x14ac:dyDescent="0.3">
      <c r="A17" s="1"/>
      <c r="B17" s="53">
        <f t="shared" si="0"/>
        <v>8</v>
      </c>
      <c r="C17" s="60" t="s">
        <v>364</v>
      </c>
      <c r="D17" s="39" t="s">
        <v>15</v>
      </c>
      <c r="E17" s="40" t="s">
        <v>95</v>
      </c>
      <c r="F17" s="39" t="s">
        <v>172</v>
      </c>
      <c r="G17" s="40" t="s">
        <v>220</v>
      </c>
      <c r="H17" s="39" t="s">
        <v>269</v>
      </c>
      <c r="I17" s="39" t="s">
        <v>361</v>
      </c>
      <c r="J17" s="39" t="s">
        <v>398</v>
      </c>
      <c r="K17" s="40" t="s">
        <v>309</v>
      </c>
      <c r="L17" s="39">
        <v>1</v>
      </c>
      <c r="M17" s="42">
        <f t="shared" si="1"/>
        <v>20</v>
      </c>
      <c r="N17" s="42">
        <v>50</v>
      </c>
      <c r="O17" s="65" t="s">
        <v>391</v>
      </c>
      <c r="P17" s="42">
        <v>9.9000000000000008E-3</v>
      </c>
      <c r="Q17" s="42">
        <f t="shared" ref="Q17" si="7">N17*P17</f>
        <v>0.49500000000000005</v>
      </c>
      <c r="R17" s="42"/>
    </row>
    <row r="18" spans="1:18" ht="15.75" thickBot="1" x14ac:dyDescent="0.3">
      <c r="A18" s="1"/>
      <c r="B18" s="53">
        <f>ROW(B18) - ROW($B$9)</f>
        <v>9</v>
      </c>
      <c r="C18" s="61" t="s">
        <v>364</v>
      </c>
      <c r="D18" s="37" t="s">
        <v>16</v>
      </c>
      <c r="E18" s="38" t="s">
        <v>96</v>
      </c>
      <c r="F18" s="37" t="s">
        <v>172</v>
      </c>
      <c r="G18" s="38" t="s">
        <v>221</v>
      </c>
      <c r="H18" s="37" t="s">
        <v>269</v>
      </c>
      <c r="I18" s="37" t="s">
        <v>361</v>
      </c>
      <c r="J18" s="37" t="s">
        <v>399</v>
      </c>
      <c r="K18" s="38" t="s">
        <v>303</v>
      </c>
      <c r="L18" s="37">
        <v>3</v>
      </c>
      <c r="M18" s="41">
        <f t="shared" si="1"/>
        <v>60</v>
      </c>
      <c r="N18" s="41">
        <v>100</v>
      </c>
      <c r="O18" s="64" t="s">
        <v>391</v>
      </c>
      <c r="P18" s="41">
        <v>8.0999999999999996E-3</v>
      </c>
      <c r="Q18" s="41">
        <f t="shared" ref="Q18" si="8">P18*N18</f>
        <v>0.80999999999999994</v>
      </c>
      <c r="R18" s="41"/>
    </row>
    <row r="19" spans="1:18" ht="24.75" thickBot="1" x14ac:dyDescent="0.3">
      <c r="A19" s="1"/>
      <c r="B19" s="53">
        <f t="shared" si="0"/>
        <v>10</v>
      </c>
      <c r="C19" s="60" t="s">
        <v>364</v>
      </c>
      <c r="D19" s="39" t="s">
        <v>406</v>
      </c>
      <c r="E19" s="40" t="s">
        <v>97</v>
      </c>
      <c r="F19" s="39" t="s">
        <v>174</v>
      </c>
      <c r="G19" s="40" t="s">
        <v>222</v>
      </c>
      <c r="H19" s="39" t="s">
        <v>272</v>
      </c>
      <c r="I19" s="39" t="s">
        <v>401</v>
      </c>
      <c r="J19" s="39" t="s">
        <v>400</v>
      </c>
      <c r="K19" s="40" t="s">
        <v>310</v>
      </c>
      <c r="L19" s="39">
        <v>8</v>
      </c>
      <c r="M19" s="42">
        <f t="shared" si="1"/>
        <v>160</v>
      </c>
      <c r="N19" s="42">
        <v>180</v>
      </c>
      <c r="O19" s="65" t="s">
        <v>391</v>
      </c>
      <c r="P19" s="42">
        <v>3.09E-2</v>
      </c>
      <c r="Q19" s="42">
        <f t="shared" ref="Q19" si="9">N19*P19</f>
        <v>5.5620000000000003</v>
      </c>
      <c r="R19" s="42"/>
    </row>
    <row r="20" spans="1:18" ht="24.75" thickBot="1" x14ac:dyDescent="0.3">
      <c r="A20" s="1"/>
      <c r="B20" s="53">
        <f>ROW(B20) - ROW($B$9)</f>
        <v>11</v>
      </c>
      <c r="C20" s="61" t="s">
        <v>364</v>
      </c>
      <c r="D20" s="37" t="s">
        <v>17</v>
      </c>
      <c r="E20" s="38" t="s">
        <v>98</v>
      </c>
      <c r="F20" s="37" t="s">
        <v>172</v>
      </c>
      <c r="G20" s="38" t="s">
        <v>223</v>
      </c>
      <c r="H20" s="37" t="s">
        <v>273</v>
      </c>
      <c r="I20" s="37" t="s">
        <v>402</v>
      </c>
      <c r="J20" s="37" t="s">
        <v>403</v>
      </c>
      <c r="K20" s="38" t="s">
        <v>311</v>
      </c>
      <c r="L20" s="37">
        <v>1</v>
      </c>
      <c r="M20" s="41">
        <f t="shared" si="1"/>
        <v>20</v>
      </c>
      <c r="N20" s="41">
        <v>50</v>
      </c>
      <c r="O20" s="64" t="s">
        <v>391</v>
      </c>
      <c r="P20" s="41">
        <v>5.3E-3</v>
      </c>
      <c r="Q20" s="41">
        <f t="shared" ref="Q20" si="10">P20*N20</f>
        <v>0.26500000000000001</v>
      </c>
      <c r="R20" s="41"/>
    </row>
    <row r="21" spans="1:18" ht="48.75" thickBot="1" x14ac:dyDescent="0.3">
      <c r="A21" s="1"/>
      <c r="B21" s="53">
        <f t="shared" si="0"/>
        <v>12</v>
      </c>
      <c r="C21" s="60" t="s">
        <v>364</v>
      </c>
      <c r="D21" s="39" t="s">
        <v>18</v>
      </c>
      <c r="E21" s="40" t="s">
        <v>99</v>
      </c>
      <c r="F21" s="39" t="s">
        <v>355</v>
      </c>
      <c r="G21" s="39" t="s">
        <v>175</v>
      </c>
      <c r="H21" s="39" t="s">
        <v>274</v>
      </c>
      <c r="I21" s="39" t="s">
        <v>361</v>
      </c>
      <c r="J21" s="39" t="s">
        <v>404</v>
      </c>
      <c r="K21" s="40" t="s">
        <v>302</v>
      </c>
      <c r="L21" s="39">
        <v>1</v>
      </c>
      <c r="M21" s="42">
        <f t="shared" si="1"/>
        <v>20</v>
      </c>
      <c r="N21" s="42">
        <v>22</v>
      </c>
      <c r="O21" s="65" t="s">
        <v>391</v>
      </c>
      <c r="P21" s="42">
        <v>0.22189999999999999</v>
      </c>
      <c r="Q21" s="42">
        <f t="shared" ref="Q21" si="11">N21*P21</f>
        <v>4.8818000000000001</v>
      </c>
      <c r="R21" s="42"/>
    </row>
    <row r="22" spans="1:18" ht="15.75" thickBot="1" x14ac:dyDescent="0.3">
      <c r="A22" s="1"/>
      <c r="B22" s="53">
        <f>ROW(B22) - ROW($B$9)</f>
        <v>13</v>
      </c>
      <c r="C22" s="61" t="s">
        <v>364</v>
      </c>
      <c r="D22" s="37" t="s">
        <v>19</v>
      </c>
      <c r="E22" s="38" t="s">
        <v>100</v>
      </c>
      <c r="F22" s="37" t="s">
        <v>173</v>
      </c>
      <c r="G22" s="38" t="s">
        <v>224</v>
      </c>
      <c r="H22" s="37" t="s">
        <v>268</v>
      </c>
      <c r="I22" s="37" t="s">
        <v>361</v>
      </c>
      <c r="J22" s="37" t="s">
        <v>405</v>
      </c>
      <c r="K22" s="38" t="s">
        <v>312</v>
      </c>
      <c r="L22" s="37">
        <v>2</v>
      </c>
      <c r="M22" s="41">
        <f t="shared" si="1"/>
        <v>40</v>
      </c>
      <c r="N22" s="41">
        <v>50</v>
      </c>
      <c r="O22" s="64" t="s">
        <v>391</v>
      </c>
      <c r="P22" s="41">
        <v>7.7000000000000002E-3</v>
      </c>
      <c r="Q22" s="41">
        <f t="shared" ref="Q22" si="12">P22*N22</f>
        <v>0.38500000000000001</v>
      </c>
      <c r="R22" s="41"/>
    </row>
    <row r="23" spans="1:18" ht="15.75" thickBot="1" x14ac:dyDescent="0.3">
      <c r="A23" s="1"/>
      <c r="B23" s="53">
        <f>ROW(B23) - ROW($B$9)</f>
        <v>14</v>
      </c>
      <c r="C23" s="61" t="s">
        <v>364</v>
      </c>
      <c r="D23" s="37" t="s">
        <v>20</v>
      </c>
      <c r="E23" s="38" t="s">
        <v>101</v>
      </c>
      <c r="F23" s="37" t="s">
        <v>172</v>
      </c>
      <c r="G23" s="38" t="s">
        <v>225</v>
      </c>
      <c r="H23" s="37" t="s">
        <v>270</v>
      </c>
      <c r="I23" s="37" t="s">
        <v>361</v>
      </c>
      <c r="J23" s="37" t="s">
        <v>407</v>
      </c>
      <c r="K23" s="38" t="s">
        <v>305</v>
      </c>
      <c r="L23" s="37">
        <v>1</v>
      </c>
      <c r="M23" s="41">
        <f t="shared" si="1"/>
        <v>20</v>
      </c>
      <c r="N23" s="41">
        <v>40</v>
      </c>
      <c r="O23" s="64" t="s">
        <v>391</v>
      </c>
      <c r="P23" s="41">
        <v>3.49E-2</v>
      </c>
      <c r="Q23" s="41">
        <f t="shared" ref="Q23" si="13">P23*N23</f>
        <v>1.3959999999999999</v>
      </c>
      <c r="R23" s="41"/>
    </row>
    <row r="24" spans="1:18" ht="15.75" thickBot="1" x14ac:dyDescent="0.3">
      <c r="A24" s="1"/>
      <c r="B24" s="53">
        <f t="shared" si="0"/>
        <v>15</v>
      </c>
      <c r="C24" s="60" t="s">
        <v>364</v>
      </c>
      <c r="D24" s="39" t="s">
        <v>21</v>
      </c>
      <c r="E24" s="40" t="s">
        <v>102</v>
      </c>
      <c r="F24" s="39" t="s">
        <v>172</v>
      </c>
      <c r="G24" s="40" t="s">
        <v>226</v>
      </c>
      <c r="H24" s="39" t="s">
        <v>268</v>
      </c>
      <c r="I24" s="39" t="s">
        <v>361</v>
      </c>
      <c r="J24" s="39" t="s">
        <v>408</v>
      </c>
      <c r="K24" s="40" t="s">
        <v>313</v>
      </c>
      <c r="L24" s="39">
        <v>3</v>
      </c>
      <c r="M24" s="42">
        <f t="shared" si="1"/>
        <v>60</v>
      </c>
      <c r="N24" s="42">
        <v>80</v>
      </c>
      <c r="O24" s="65" t="s">
        <v>391</v>
      </c>
      <c r="P24" s="42">
        <v>1.9199999999999998E-2</v>
      </c>
      <c r="Q24" s="42">
        <f t="shared" ref="Q24" si="14">N24*P24</f>
        <v>1.5359999999999998</v>
      </c>
      <c r="R24" s="42"/>
    </row>
    <row r="25" spans="1:18" ht="15.75" thickBot="1" x14ac:dyDescent="0.3">
      <c r="A25" s="1"/>
      <c r="B25" s="53">
        <f>ROW(B25) - ROW($B$9)</f>
        <v>16</v>
      </c>
      <c r="C25" s="61" t="s">
        <v>364</v>
      </c>
      <c r="D25" s="37" t="s">
        <v>22</v>
      </c>
      <c r="E25" s="38" t="s">
        <v>103</v>
      </c>
      <c r="F25" s="37" t="s">
        <v>173</v>
      </c>
      <c r="G25" s="66">
        <v>885012205080</v>
      </c>
      <c r="H25" s="37" t="s">
        <v>275</v>
      </c>
      <c r="I25" s="37" t="s">
        <v>409</v>
      </c>
      <c r="J25" s="37" t="s">
        <v>410</v>
      </c>
      <c r="K25" s="38" t="s">
        <v>314</v>
      </c>
      <c r="L25" s="37">
        <v>1</v>
      </c>
      <c r="M25" s="41">
        <f t="shared" si="1"/>
        <v>20</v>
      </c>
      <c r="N25" s="41">
        <v>50</v>
      </c>
      <c r="O25" s="64" t="s">
        <v>391</v>
      </c>
      <c r="P25" s="41">
        <v>5.1999999999999998E-3</v>
      </c>
      <c r="Q25" s="41">
        <f t="shared" ref="Q25" si="15">P25*N25</f>
        <v>0.26</v>
      </c>
      <c r="R25" s="41"/>
    </row>
    <row r="26" spans="1:18" ht="15.75" thickBot="1" x14ac:dyDescent="0.3">
      <c r="A26" s="1"/>
      <c r="B26" s="53">
        <f t="shared" si="0"/>
        <v>17</v>
      </c>
      <c r="C26" s="60" t="s">
        <v>364</v>
      </c>
      <c r="D26" s="39" t="s">
        <v>23</v>
      </c>
      <c r="E26" s="40" t="s">
        <v>104</v>
      </c>
      <c r="F26" s="39" t="s">
        <v>172</v>
      </c>
      <c r="G26" s="40" t="s">
        <v>227</v>
      </c>
      <c r="H26" s="39" t="s">
        <v>269</v>
      </c>
      <c r="I26" s="39" t="s">
        <v>361</v>
      </c>
      <c r="J26" s="39" t="s">
        <v>411</v>
      </c>
      <c r="K26" s="40" t="s">
        <v>315</v>
      </c>
      <c r="L26" s="39">
        <v>1</v>
      </c>
      <c r="M26" s="42">
        <f t="shared" si="1"/>
        <v>20</v>
      </c>
      <c r="N26" s="42">
        <v>100</v>
      </c>
      <c r="O26" s="65" t="s">
        <v>391</v>
      </c>
      <c r="P26" s="42">
        <v>3.2000000000000002E-3</v>
      </c>
      <c r="Q26" s="42">
        <f t="shared" ref="Q26" si="16">N26*P26</f>
        <v>0.32</v>
      </c>
      <c r="R26" s="42"/>
    </row>
    <row r="27" spans="1:18" ht="15.75" thickBot="1" x14ac:dyDescent="0.3">
      <c r="A27" s="1"/>
      <c r="B27" s="53">
        <f>ROW(B27) - ROW($B$9)</f>
        <v>18</v>
      </c>
      <c r="C27" s="61" t="s">
        <v>364</v>
      </c>
      <c r="D27" s="37" t="s">
        <v>24</v>
      </c>
      <c r="E27" s="38" t="s">
        <v>105</v>
      </c>
      <c r="F27" s="37" t="s">
        <v>176</v>
      </c>
      <c r="G27" s="38" t="s">
        <v>228</v>
      </c>
      <c r="H27" s="37" t="s">
        <v>270</v>
      </c>
      <c r="I27" s="37" t="s">
        <v>361</v>
      </c>
      <c r="J27" s="37" t="s">
        <v>412</v>
      </c>
      <c r="K27" s="38" t="s">
        <v>316</v>
      </c>
      <c r="L27" s="37">
        <v>1</v>
      </c>
      <c r="M27" s="41">
        <f t="shared" si="1"/>
        <v>20</v>
      </c>
      <c r="N27" s="41">
        <v>22</v>
      </c>
      <c r="O27" s="64" t="s">
        <v>391</v>
      </c>
      <c r="P27" s="41">
        <v>0.1653</v>
      </c>
      <c r="Q27" s="41">
        <f t="shared" ref="Q27" si="17">P27*N27</f>
        <v>3.6366000000000001</v>
      </c>
      <c r="R27" s="41"/>
    </row>
    <row r="28" spans="1:18" ht="36.75" thickBot="1" x14ac:dyDescent="0.3">
      <c r="A28" s="1"/>
      <c r="B28" s="53">
        <f t="shared" si="0"/>
        <v>19</v>
      </c>
      <c r="C28" s="60" t="s">
        <v>364</v>
      </c>
      <c r="D28" s="39" t="s">
        <v>25</v>
      </c>
      <c r="E28" s="40" t="s">
        <v>106</v>
      </c>
      <c r="F28" s="39" t="s">
        <v>172</v>
      </c>
      <c r="G28" s="40" t="s">
        <v>229</v>
      </c>
      <c r="H28" s="39" t="s">
        <v>269</v>
      </c>
      <c r="I28" s="39" t="s">
        <v>361</v>
      </c>
      <c r="J28" s="39" t="s">
        <v>413</v>
      </c>
      <c r="K28" s="40" t="s">
        <v>317</v>
      </c>
      <c r="L28" s="39">
        <v>1</v>
      </c>
      <c r="M28" s="42">
        <f t="shared" si="1"/>
        <v>20</v>
      </c>
      <c r="N28" s="42">
        <v>100</v>
      </c>
      <c r="O28" s="65" t="s">
        <v>391</v>
      </c>
      <c r="P28" s="42">
        <v>3.3999999999999998E-3</v>
      </c>
      <c r="Q28" s="42">
        <f t="shared" ref="Q28" si="18">N28*P28</f>
        <v>0.33999999999999997</v>
      </c>
      <c r="R28" s="42"/>
    </row>
    <row r="29" spans="1:18" ht="24.75" thickBot="1" x14ac:dyDescent="0.3">
      <c r="A29" s="1"/>
      <c r="B29" s="53">
        <f>ROW(B29) - ROW($B$9)</f>
        <v>20</v>
      </c>
      <c r="C29" s="61" t="s">
        <v>364</v>
      </c>
      <c r="D29" s="37" t="s">
        <v>26</v>
      </c>
      <c r="E29" s="38" t="s">
        <v>107</v>
      </c>
      <c r="F29" s="37" t="s">
        <v>177</v>
      </c>
      <c r="G29" s="38" t="s">
        <v>230</v>
      </c>
      <c r="H29" s="37" t="s">
        <v>271</v>
      </c>
      <c r="I29" s="37" t="s">
        <v>361</v>
      </c>
      <c r="J29" s="37" t="s">
        <v>414</v>
      </c>
      <c r="K29" s="38" t="s">
        <v>318</v>
      </c>
      <c r="L29" s="37">
        <v>3</v>
      </c>
      <c r="M29" s="41">
        <f t="shared" si="1"/>
        <v>60</v>
      </c>
      <c r="N29" s="41">
        <v>70</v>
      </c>
      <c r="O29" s="64" t="s">
        <v>391</v>
      </c>
      <c r="P29" s="41">
        <v>0.2525</v>
      </c>
      <c r="Q29" s="41">
        <f t="shared" ref="Q29" si="19">P29*N29</f>
        <v>17.675000000000001</v>
      </c>
      <c r="R29" s="41"/>
    </row>
    <row r="30" spans="1:18" ht="24.75" thickBot="1" x14ac:dyDescent="0.3">
      <c r="A30" s="1"/>
      <c r="B30" s="53">
        <f t="shared" si="0"/>
        <v>21</v>
      </c>
      <c r="C30" s="60" t="s">
        <v>364</v>
      </c>
      <c r="D30" s="39" t="s">
        <v>27</v>
      </c>
      <c r="E30" s="40" t="s">
        <v>108</v>
      </c>
      <c r="F30" s="39" t="s">
        <v>172</v>
      </c>
      <c r="G30" s="40" t="s">
        <v>231</v>
      </c>
      <c r="H30" s="39" t="s">
        <v>269</v>
      </c>
      <c r="I30" s="39" t="s">
        <v>361</v>
      </c>
      <c r="J30" s="39" t="s">
        <v>415</v>
      </c>
      <c r="K30" s="40" t="s">
        <v>319</v>
      </c>
      <c r="L30" s="39">
        <v>1</v>
      </c>
      <c r="M30" s="42">
        <f t="shared" si="1"/>
        <v>20</v>
      </c>
      <c r="N30" s="42">
        <v>50</v>
      </c>
      <c r="O30" s="65" t="s">
        <v>391</v>
      </c>
      <c r="P30" s="42">
        <v>4.1999999999999997E-3</v>
      </c>
      <c r="Q30" s="42">
        <f t="shared" ref="Q30" si="20">N30*P30</f>
        <v>0.21</v>
      </c>
      <c r="R30" s="42"/>
    </row>
    <row r="31" spans="1:18" ht="15.75" thickBot="1" x14ac:dyDescent="0.3">
      <c r="A31" s="1"/>
      <c r="B31" s="53">
        <f>ROW(B31) - ROW($B$9)</f>
        <v>22</v>
      </c>
      <c r="C31" s="61" t="s">
        <v>364</v>
      </c>
      <c r="D31" s="37" t="s">
        <v>28</v>
      </c>
      <c r="E31" s="38" t="s">
        <v>109</v>
      </c>
      <c r="F31" s="37" t="s">
        <v>178</v>
      </c>
      <c r="G31" s="38" t="s">
        <v>232</v>
      </c>
      <c r="H31" s="37" t="s">
        <v>272</v>
      </c>
      <c r="I31" s="37" t="s">
        <v>361</v>
      </c>
      <c r="J31" s="37" t="s">
        <v>416</v>
      </c>
      <c r="K31" s="38" t="s">
        <v>320</v>
      </c>
      <c r="L31" s="37">
        <v>1</v>
      </c>
      <c r="M31" s="41">
        <f t="shared" si="1"/>
        <v>20</v>
      </c>
      <c r="N31" s="41">
        <v>22</v>
      </c>
      <c r="O31" s="64" t="s">
        <v>391</v>
      </c>
      <c r="P31" s="41">
        <v>0.89629999999999999</v>
      </c>
      <c r="Q31" s="41">
        <f t="shared" ref="Q31" si="21">P31*N31</f>
        <v>19.718599999999999</v>
      </c>
      <c r="R31" s="41"/>
    </row>
    <row r="32" spans="1:18" ht="48.75" thickBot="1" x14ac:dyDescent="0.3">
      <c r="A32" s="1"/>
      <c r="B32" s="53">
        <f t="shared" si="0"/>
        <v>23</v>
      </c>
      <c r="C32" s="60" t="s">
        <v>364</v>
      </c>
      <c r="D32" s="39" t="s">
        <v>29</v>
      </c>
      <c r="E32" s="40" t="s">
        <v>110</v>
      </c>
      <c r="F32" s="39" t="s">
        <v>355</v>
      </c>
      <c r="G32" s="39" t="s">
        <v>179</v>
      </c>
      <c r="H32" s="39" t="s">
        <v>276</v>
      </c>
      <c r="I32" s="39" t="s">
        <v>361</v>
      </c>
      <c r="J32" s="39" t="s">
        <v>417</v>
      </c>
      <c r="K32" s="40" t="s">
        <v>321</v>
      </c>
      <c r="L32" s="39">
        <v>1</v>
      </c>
      <c r="M32" s="42">
        <f t="shared" si="1"/>
        <v>20</v>
      </c>
      <c r="N32" s="42">
        <v>21</v>
      </c>
      <c r="O32" s="65" t="s">
        <v>391</v>
      </c>
      <c r="P32" s="42">
        <v>0.47249999999999998</v>
      </c>
      <c r="Q32" s="42">
        <f t="shared" ref="Q32" si="22">N32*P32</f>
        <v>9.9224999999999994</v>
      </c>
      <c r="R32" s="42"/>
    </row>
    <row r="33" spans="1:18" ht="15.75" thickBot="1" x14ac:dyDescent="0.3">
      <c r="A33" s="1"/>
      <c r="B33" s="53">
        <f>ROW(B33) - ROW($B$9)</f>
        <v>24</v>
      </c>
      <c r="C33" s="61" t="s">
        <v>364</v>
      </c>
      <c r="D33" s="37" t="s">
        <v>30</v>
      </c>
      <c r="E33" s="38" t="s">
        <v>111</v>
      </c>
      <c r="F33" s="37" t="s">
        <v>172</v>
      </c>
      <c r="G33" s="38" t="s">
        <v>233</v>
      </c>
      <c r="H33" s="37" t="s">
        <v>269</v>
      </c>
      <c r="I33" s="37" t="s">
        <v>361</v>
      </c>
      <c r="J33" s="37" t="s">
        <v>418</v>
      </c>
      <c r="K33" s="38" t="s">
        <v>322</v>
      </c>
      <c r="L33" s="37">
        <v>1</v>
      </c>
      <c r="M33" s="41">
        <f t="shared" si="1"/>
        <v>20</v>
      </c>
      <c r="N33" s="41">
        <v>100</v>
      </c>
      <c r="O33" s="64" t="s">
        <v>391</v>
      </c>
      <c r="P33" s="41">
        <v>3.0999999999999999E-3</v>
      </c>
      <c r="Q33" s="41">
        <f t="shared" ref="Q33" si="23">P33*N33</f>
        <v>0.31</v>
      </c>
      <c r="R33" s="41"/>
    </row>
    <row r="34" spans="1:18" ht="15.75" thickBot="1" x14ac:dyDescent="0.3">
      <c r="A34" s="1"/>
      <c r="B34" s="53">
        <f t="shared" si="0"/>
        <v>25</v>
      </c>
      <c r="C34" s="60" t="s">
        <v>364</v>
      </c>
      <c r="D34" s="39" t="s">
        <v>31</v>
      </c>
      <c r="E34" s="40" t="s">
        <v>112</v>
      </c>
      <c r="F34" s="39" t="s">
        <v>174</v>
      </c>
      <c r="G34" s="40" t="s">
        <v>234</v>
      </c>
      <c r="H34" s="39" t="s">
        <v>273</v>
      </c>
      <c r="I34" s="39" t="s">
        <v>420</v>
      </c>
      <c r="J34" s="39" t="s">
        <v>419</v>
      </c>
      <c r="K34" s="40" t="s">
        <v>307</v>
      </c>
      <c r="L34" s="39">
        <v>1</v>
      </c>
      <c r="M34" s="42">
        <f t="shared" si="1"/>
        <v>20</v>
      </c>
      <c r="N34" s="42">
        <v>25</v>
      </c>
      <c r="O34" s="65" t="s">
        <v>391</v>
      </c>
      <c r="P34" s="42">
        <v>9.1899999999999996E-2</v>
      </c>
      <c r="Q34" s="42">
        <f t="shared" ref="Q34" si="24">N34*P34</f>
        <v>2.2974999999999999</v>
      </c>
      <c r="R34" s="42"/>
    </row>
    <row r="35" spans="1:18" ht="15.75" thickBot="1" x14ac:dyDescent="0.3">
      <c r="A35" s="1"/>
      <c r="B35" s="53">
        <f>ROW(B35) - ROW($B$9)</f>
        <v>26</v>
      </c>
      <c r="C35" s="61" t="s">
        <v>364</v>
      </c>
      <c r="D35" s="37" t="s">
        <v>32</v>
      </c>
      <c r="E35" s="38" t="s">
        <v>113</v>
      </c>
      <c r="F35" s="37" t="s">
        <v>172</v>
      </c>
      <c r="G35" s="38" t="s">
        <v>235</v>
      </c>
      <c r="H35" s="37" t="s">
        <v>268</v>
      </c>
      <c r="I35" s="37" t="s">
        <v>361</v>
      </c>
      <c r="J35" s="37" t="s">
        <v>421</v>
      </c>
      <c r="K35" s="38" t="s">
        <v>323</v>
      </c>
      <c r="L35" s="37">
        <v>4</v>
      </c>
      <c r="M35" s="41">
        <f t="shared" si="1"/>
        <v>80</v>
      </c>
      <c r="N35" s="41">
        <v>100</v>
      </c>
      <c r="O35" s="64" t="s">
        <v>391</v>
      </c>
      <c r="P35" s="41">
        <v>5.4999999999999997E-3</v>
      </c>
      <c r="Q35" s="41">
        <f t="shared" ref="Q35" si="25">P35*N35</f>
        <v>0.54999999999999993</v>
      </c>
      <c r="R35" s="41"/>
    </row>
    <row r="36" spans="1:18" ht="24.75" thickBot="1" x14ac:dyDescent="0.3">
      <c r="A36" s="1"/>
      <c r="B36" s="53">
        <f t="shared" si="0"/>
        <v>27</v>
      </c>
      <c r="C36" s="60" t="s">
        <v>365</v>
      </c>
      <c r="D36" s="39" t="s">
        <v>33</v>
      </c>
      <c r="E36" s="40" t="s">
        <v>114</v>
      </c>
      <c r="F36" s="39" t="s">
        <v>355</v>
      </c>
      <c r="G36" s="40" t="s">
        <v>180</v>
      </c>
      <c r="H36" s="39" t="s">
        <v>277</v>
      </c>
      <c r="I36" s="39" t="s">
        <v>361</v>
      </c>
      <c r="J36" s="39" t="s">
        <v>422</v>
      </c>
      <c r="K36" s="40" t="s">
        <v>361</v>
      </c>
      <c r="L36" s="39">
        <v>1</v>
      </c>
      <c r="M36" s="42">
        <f t="shared" si="1"/>
        <v>20</v>
      </c>
      <c r="N36" s="42">
        <v>30</v>
      </c>
      <c r="O36" s="65" t="s">
        <v>391</v>
      </c>
      <c r="P36" s="42">
        <v>4.87E-2</v>
      </c>
      <c r="Q36" s="42">
        <f t="shared" ref="Q36" si="26">N36*P36</f>
        <v>1.4610000000000001</v>
      </c>
      <c r="R36" s="42"/>
    </row>
    <row r="37" spans="1:18" ht="36.75" thickBot="1" x14ac:dyDescent="0.3">
      <c r="A37" s="1"/>
      <c r="B37" s="53">
        <f>ROW(B37) - ROW($B$9)</f>
        <v>28</v>
      </c>
      <c r="C37" s="61" t="s">
        <v>365</v>
      </c>
      <c r="D37" s="37" t="s">
        <v>34</v>
      </c>
      <c r="E37" s="38" t="s">
        <v>115</v>
      </c>
      <c r="F37" s="37" t="s">
        <v>181</v>
      </c>
      <c r="G37" s="38" t="s">
        <v>324</v>
      </c>
      <c r="H37" s="37" t="s">
        <v>278</v>
      </c>
      <c r="I37" s="37" t="s">
        <v>361</v>
      </c>
      <c r="J37" s="37" t="s">
        <v>423</v>
      </c>
      <c r="K37" s="38" t="s">
        <v>361</v>
      </c>
      <c r="L37" s="37">
        <v>1</v>
      </c>
      <c r="M37" s="41">
        <f t="shared" si="1"/>
        <v>20</v>
      </c>
      <c r="N37" s="41">
        <v>30</v>
      </c>
      <c r="O37" s="64" t="s">
        <v>391</v>
      </c>
      <c r="P37" s="41">
        <v>7.4300000000000005E-2</v>
      </c>
      <c r="Q37" s="41">
        <f t="shared" ref="Q37" si="27">P37*N37</f>
        <v>2.2290000000000001</v>
      </c>
      <c r="R37" s="41"/>
    </row>
    <row r="38" spans="1:18" ht="24.75" thickBot="1" x14ac:dyDescent="0.3">
      <c r="A38" s="1"/>
      <c r="B38" s="53">
        <f t="shared" si="0"/>
        <v>29</v>
      </c>
      <c r="C38" s="60" t="s">
        <v>365</v>
      </c>
      <c r="D38" s="39" t="s">
        <v>35</v>
      </c>
      <c r="E38" s="40" t="s">
        <v>116</v>
      </c>
      <c r="F38" s="39" t="s">
        <v>181</v>
      </c>
      <c r="G38" s="40" t="s">
        <v>325</v>
      </c>
      <c r="H38" s="39" t="s">
        <v>278</v>
      </c>
      <c r="I38" s="39" t="s">
        <v>325</v>
      </c>
      <c r="J38" s="39" t="s">
        <v>424</v>
      </c>
      <c r="K38" s="40" t="s">
        <v>361</v>
      </c>
      <c r="L38" s="39">
        <v>1</v>
      </c>
      <c r="M38" s="42">
        <f t="shared" si="1"/>
        <v>20</v>
      </c>
      <c r="N38" s="42">
        <v>40</v>
      </c>
      <c r="O38" s="65" t="s">
        <v>391</v>
      </c>
      <c r="P38" s="42">
        <v>2.8899999999999999E-2</v>
      </c>
      <c r="Q38" s="42">
        <f t="shared" ref="Q38" si="28">N38*P38</f>
        <v>1.1559999999999999</v>
      </c>
      <c r="R38" s="42"/>
    </row>
    <row r="39" spans="1:18" ht="15.75" thickBot="1" x14ac:dyDescent="0.3">
      <c r="A39" s="1"/>
      <c r="B39" s="67">
        <f>ROW(B39) - ROW($B$9)</f>
        <v>30</v>
      </c>
      <c r="C39" s="68" t="s">
        <v>365</v>
      </c>
      <c r="D39" s="69" t="s">
        <v>36</v>
      </c>
      <c r="E39" s="70" t="s">
        <v>117</v>
      </c>
      <c r="F39" s="69" t="s">
        <v>182</v>
      </c>
      <c r="G39" s="70" t="s">
        <v>236</v>
      </c>
      <c r="H39" s="69" t="s">
        <v>279</v>
      </c>
      <c r="I39" s="69" t="s">
        <v>426</v>
      </c>
      <c r="J39" s="69" t="s">
        <v>427</v>
      </c>
      <c r="K39" s="70" t="s">
        <v>361</v>
      </c>
      <c r="L39" s="69">
        <v>8</v>
      </c>
      <c r="M39" s="71">
        <f t="shared" si="1"/>
        <v>160</v>
      </c>
      <c r="N39" s="71">
        <v>170</v>
      </c>
      <c r="O39" s="72" t="s">
        <v>391</v>
      </c>
      <c r="P39" s="71">
        <v>0.12590000000000001</v>
      </c>
      <c r="Q39" s="71">
        <f t="shared" ref="Q39" si="29">P39*N39</f>
        <v>21.403000000000002</v>
      </c>
      <c r="R39" s="73" t="s">
        <v>425</v>
      </c>
    </row>
    <row r="40" spans="1:18" ht="15.75" thickBot="1" x14ac:dyDescent="0.3">
      <c r="A40" s="1"/>
      <c r="B40" s="53">
        <f t="shared" si="0"/>
        <v>31</v>
      </c>
      <c r="C40" s="60" t="s">
        <v>367</v>
      </c>
      <c r="D40" s="39" t="s">
        <v>37</v>
      </c>
      <c r="E40" s="40" t="s">
        <v>118</v>
      </c>
      <c r="F40" s="39" t="s">
        <v>355</v>
      </c>
      <c r="G40" s="40" t="s">
        <v>183</v>
      </c>
      <c r="H40" s="39" t="s">
        <v>280</v>
      </c>
      <c r="I40" s="39" t="s">
        <v>428</v>
      </c>
      <c r="J40" s="39" t="s">
        <v>429</v>
      </c>
      <c r="K40" s="40" t="s">
        <v>361</v>
      </c>
      <c r="L40" s="39">
        <v>1</v>
      </c>
      <c r="M40" s="42">
        <f t="shared" si="1"/>
        <v>20</v>
      </c>
      <c r="N40" s="42">
        <v>30</v>
      </c>
      <c r="O40" s="65" t="s">
        <v>391</v>
      </c>
      <c r="P40" s="42">
        <v>5.6000000000000001E-2</v>
      </c>
      <c r="Q40" s="42">
        <f t="shared" ref="Q40" si="30">N40*P40</f>
        <v>1.68</v>
      </c>
      <c r="R40" s="42"/>
    </row>
    <row r="41" spans="1:18" ht="36.75" thickBot="1" x14ac:dyDescent="0.3">
      <c r="A41" s="1"/>
      <c r="B41" s="53">
        <f>ROW(B41) - ROW($B$9)</f>
        <v>32</v>
      </c>
      <c r="C41" s="61" t="s">
        <v>366</v>
      </c>
      <c r="D41" s="37" t="s">
        <v>38</v>
      </c>
      <c r="E41" s="38" t="s">
        <v>119</v>
      </c>
      <c r="F41" s="37" t="s">
        <v>356</v>
      </c>
      <c r="G41" s="38" t="s">
        <v>184</v>
      </c>
      <c r="H41" s="37" t="s">
        <v>273</v>
      </c>
      <c r="I41" s="37" t="s">
        <v>361</v>
      </c>
      <c r="J41" s="37" t="s">
        <v>430</v>
      </c>
      <c r="K41" s="38" t="s">
        <v>361</v>
      </c>
      <c r="L41" s="37">
        <v>4</v>
      </c>
      <c r="M41" s="41">
        <f t="shared" si="1"/>
        <v>80</v>
      </c>
      <c r="N41" s="41">
        <v>100</v>
      </c>
      <c r="O41" s="64" t="s">
        <v>391</v>
      </c>
      <c r="P41" s="41">
        <v>2.9499999999999998E-2</v>
      </c>
      <c r="Q41" s="41">
        <f t="shared" ref="Q41" si="31">P41*N41</f>
        <v>2.9499999999999997</v>
      </c>
      <c r="R41" s="41"/>
    </row>
    <row r="42" spans="1:18" ht="24.75" thickBot="1" x14ac:dyDescent="0.3">
      <c r="A42" s="1"/>
      <c r="B42" s="67">
        <f t="shared" si="0"/>
        <v>33</v>
      </c>
      <c r="C42" s="74" t="s">
        <v>368</v>
      </c>
      <c r="D42" s="75" t="s">
        <v>39</v>
      </c>
      <c r="E42" s="76" t="s">
        <v>120</v>
      </c>
      <c r="F42" s="75" t="s">
        <v>355</v>
      </c>
      <c r="G42" s="76" t="s">
        <v>185</v>
      </c>
      <c r="H42" s="75" t="s">
        <v>281</v>
      </c>
      <c r="I42" s="75" t="s">
        <v>431</v>
      </c>
      <c r="J42" s="75" t="s">
        <v>432</v>
      </c>
      <c r="K42" s="76" t="s">
        <v>361</v>
      </c>
      <c r="L42" s="75">
        <v>1</v>
      </c>
      <c r="M42" s="77">
        <f t="shared" si="1"/>
        <v>20</v>
      </c>
      <c r="N42" s="77">
        <v>21</v>
      </c>
      <c r="O42" s="78" t="s">
        <v>391</v>
      </c>
      <c r="P42" s="77">
        <v>0.53559999999999997</v>
      </c>
      <c r="Q42" s="77">
        <f t="shared" ref="Q42" si="32">N42*P42</f>
        <v>11.247599999999998</v>
      </c>
      <c r="R42" s="73" t="s">
        <v>425</v>
      </c>
    </row>
    <row r="43" spans="1:18" ht="36.75" thickBot="1" x14ac:dyDescent="0.3">
      <c r="A43" s="1"/>
      <c r="B43" s="67">
        <f>ROW(B43) - ROW($B$9)</f>
        <v>34</v>
      </c>
      <c r="C43" s="68" t="s">
        <v>368</v>
      </c>
      <c r="D43" s="69" t="s">
        <v>40</v>
      </c>
      <c r="E43" s="70" t="s">
        <v>121</v>
      </c>
      <c r="F43" s="69" t="s">
        <v>355</v>
      </c>
      <c r="G43" s="70" t="s">
        <v>186</v>
      </c>
      <c r="H43" s="69" t="s">
        <v>282</v>
      </c>
      <c r="I43" s="69" t="s">
        <v>433</v>
      </c>
      <c r="J43" s="69" t="s">
        <v>434</v>
      </c>
      <c r="K43" s="70" t="s">
        <v>361</v>
      </c>
      <c r="L43" s="69">
        <v>2</v>
      </c>
      <c r="M43" s="71">
        <f t="shared" si="1"/>
        <v>40</v>
      </c>
      <c r="N43" s="71">
        <v>42</v>
      </c>
      <c r="O43" s="72" t="s">
        <v>391</v>
      </c>
      <c r="P43" s="71">
        <v>0.65639999999999998</v>
      </c>
      <c r="Q43" s="71">
        <f t="shared" ref="Q43" si="33">P43*N43</f>
        <v>27.5688</v>
      </c>
      <c r="R43" s="73" t="s">
        <v>425</v>
      </c>
    </row>
    <row r="44" spans="1:18" ht="15.75" thickBot="1" x14ac:dyDescent="0.3">
      <c r="A44" s="1"/>
      <c r="B44" s="53">
        <f t="shared" si="0"/>
        <v>35</v>
      </c>
      <c r="C44" s="60" t="s">
        <v>369</v>
      </c>
      <c r="D44" s="39" t="s">
        <v>41</v>
      </c>
      <c r="E44" s="40" t="s">
        <v>122</v>
      </c>
      <c r="F44" s="39" t="s">
        <v>355</v>
      </c>
      <c r="G44" s="40" t="s">
        <v>187</v>
      </c>
      <c r="H44" s="39" t="s">
        <v>283</v>
      </c>
      <c r="I44" s="39" t="s">
        <v>361</v>
      </c>
      <c r="J44" s="39" t="s">
        <v>361</v>
      </c>
      <c r="K44" s="40" t="s">
        <v>361</v>
      </c>
      <c r="L44" s="39">
        <v>1</v>
      </c>
      <c r="M44" s="42">
        <f t="shared" si="1"/>
        <v>20</v>
      </c>
      <c r="N44" s="42">
        <v>21</v>
      </c>
      <c r="O44" s="65" t="s">
        <v>435</v>
      </c>
      <c r="P44" s="42">
        <v>1.2</v>
      </c>
      <c r="Q44" s="42">
        <f t="shared" ref="Q44" si="34">N44*P44</f>
        <v>25.2</v>
      </c>
      <c r="R44" s="42"/>
    </row>
    <row r="45" spans="1:18" ht="15.75" thickBot="1" x14ac:dyDescent="0.3">
      <c r="A45" s="1"/>
      <c r="B45" s="53">
        <f>ROW(B45) - ROW($B$9)</f>
        <v>36</v>
      </c>
      <c r="C45" s="61" t="s">
        <v>369</v>
      </c>
      <c r="D45" s="37" t="s">
        <v>42</v>
      </c>
      <c r="E45" s="38" t="s">
        <v>123</v>
      </c>
      <c r="F45" s="37" t="s">
        <v>355</v>
      </c>
      <c r="G45" s="38" t="s">
        <v>188</v>
      </c>
      <c r="H45" s="37" t="s">
        <v>284</v>
      </c>
      <c r="I45" s="37" t="s">
        <v>361</v>
      </c>
      <c r="J45" s="37" t="s">
        <v>436</v>
      </c>
      <c r="K45" s="38" t="s">
        <v>361</v>
      </c>
      <c r="L45" s="37">
        <v>1</v>
      </c>
      <c r="M45" s="41">
        <f t="shared" si="1"/>
        <v>20</v>
      </c>
      <c r="N45" s="41">
        <v>25</v>
      </c>
      <c r="O45" s="64" t="s">
        <v>391</v>
      </c>
      <c r="P45" s="41">
        <v>9.2200000000000004E-2</v>
      </c>
      <c r="Q45" s="41">
        <f t="shared" ref="Q45" si="35">P45*N45</f>
        <v>2.3050000000000002</v>
      </c>
      <c r="R45" s="41"/>
    </row>
    <row r="46" spans="1:18" ht="36.75" thickBot="1" x14ac:dyDescent="0.3">
      <c r="A46" s="1"/>
      <c r="B46" s="53">
        <f t="shared" si="0"/>
        <v>37</v>
      </c>
      <c r="C46" s="60" t="s">
        <v>366</v>
      </c>
      <c r="D46" s="39" t="s">
        <v>43</v>
      </c>
      <c r="E46" s="40" t="s">
        <v>124</v>
      </c>
      <c r="F46" s="39" t="s">
        <v>355</v>
      </c>
      <c r="G46" s="40" t="s">
        <v>189</v>
      </c>
      <c r="H46" s="39" t="s">
        <v>273</v>
      </c>
      <c r="I46" s="39" t="s">
        <v>361</v>
      </c>
      <c r="J46" s="39" t="s">
        <v>437</v>
      </c>
      <c r="K46" s="40" t="s">
        <v>326</v>
      </c>
      <c r="L46" s="39">
        <v>1</v>
      </c>
      <c r="M46" s="42">
        <f t="shared" si="1"/>
        <v>20</v>
      </c>
      <c r="N46" s="42">
        <v>21</v>
      </c>
      <c r="O46" s="65" t="s">
        <v>391</v>
      </c>
      <c r="P46" s="42">
        <v>0.45629999999999998</v>
      </c>
      <c r="Q46" s="42">
        <f t="shared" ref="Q46" si="36">N46*P46</f>
        <v>9.5823</v>
      </c>
      <c r="R46" s="42"/>
    </row>
    <row r="47" spans="1:18" ht="24.75" thickBot="1" x14ac:dyDescent="0.3">
      <c r="A47" s="1"/>
      <c r="B47" s="53">
        <f>ROW(B47) - ROW($B$9)</f>
        <v>38</v>
      </c>
      <c r="C47" s="61" t="s">
        <v>366</v>
      </c>
      <c r="D47" s="37" t="s">
        <v>44</v>
      </c>
      <c r="E47" s="38" t="s">
        <v>125</v>
      </c>
      <c r="F47" s="37" t="s">
        <v>355</v>
      </c>
      <c r="G47" s="38" t="s">
        <v>190</v>
      </c>
      <c r="H47" s="37" t="s">
        <v>285</v>
      </c>
      <c r="I47" s="37" t="s">
        <v>361</v>
      </c>
      <c r="J47" s="37" t="s">
        <v>438</v>
      </c>
      <c r="K47" s="38" t="s">
        <v>327</v>
      </c>
      <c r="L47" s="37">
        <v>1</v>
      </c>
      <c r="M47" s="41">
        <f t="shared" si="1"/>
        <v>20</v>
      </c>
      <c r="N47" s="41">
        <v>30</v>
      </c>
      <c r="O47" s="64" t="s">
        <v>391</v>
      </c>
      <c r="P47" s="41">
        <v>9.5500000000000002E-2</v>
      </c>
      <c r="Q47" s="41">
        <f t="shared" ref="Q47" si="37">P47*N47</f>
        <v>2.8650000000000002</v>
      </c>
      <c r="R47" s="41"/>
    </row>
    <row r="48" spans="1:18" ht="24.75" thickBot="1" x14ac:dyDescent="0.3">
      <c r="A48" s="1"/>
      <c r="B48" s="53">
        <f t="shared" si="0"/>
        <v>39</v>
      </c>
      <c r="C48" s="60" t="s">
        <v>370</v>
      </c>
      <c r="D48" s="39" t="s">
        <v>45</v>
      </c>
      <c r="E48" s="40" t="s">
        <v>126</v>
      </c>
      <c r="F48" s="39" t="s">
        <v>355</v>
      </c>
      <c r="G48" s="40" t="s">
        <v>191</v>
      </c>
      <c r="H48" s="39" t="s">
        <v>286</v>
      </c>
      <c r="I48" s="39" t="s">
        <v>361</v>
      </c>
      <c r="J48" s="39" t="s">
        <v>361</v>
      </c>
      <c r="K48" s="40" t="s">
        <v>361</v>
      </c>
      <c r="L48" s="39">
        <v>1</v>
      </c>
      <c r="M48" s="42">
        <f t="shared" si="1"/>
        <v>20</v>
      </c>
      <c r="N48" s="42">
        <v>30</v>
      </c>
      <c r="O48" s="65" t="s">
        <v>439</v>
      </c>
      <c r="P48" s="42">
        <v>0.156</v>
      </c>
      <c r="Q48" s="42">
        <f t="shared" ref="Q48" si="38">N48*P48</f>
        <v>4.68</v>
      </c>
      <c r="R48" s="42"/>
    </row>
    <row r="49" spans="1:18" ht="15.75" thickBot="1" x14ac:dyDescent="0.3">
      <c r="A49" s="1"/>
      <c r="B49" s="53">
        <f>ROW(B49) - ROW($B$9)</f>
        <v>40</v>
      </c>
      <c r="C49" s="61" t="s">
        <v>370</v>
      </c>
      <c r="D49" s="37" t="s">
        <v>46</v>
      </c>
      <c r="E49" s="38" t="s">
        <v>127</v>
      </c>
      <c r="F49" s="37" t="s">
        <v>192</v>
      </c>
      <c r="G49" s="38" t="s">
        <v>237</v>
      </c>
      <c r="H49" s="37" t="s">
        <v>287</v>
      </c>
      <c r="I49" s="37" t="s">
        <v>361</v>
      </c>
      <c r="J49" s="37" t="s">
        <v>361</v>
      </c>
      <c r="K49" s="38" t="s">
        <v>361</v>
      </c>
      <c r="L49" s="37">
        <v>1</v>
      </c>
      <c r="M49" s="41">
        <f t="shared" si="1"/>
        <v>20</v>
      </c>
      <c r="N49" s="41">
        <v>30</v>
      </c>
      <c r="O49" s="64" t="s">
        <v>440</v>
      </c>
      <c r="P49" s="41">
        <v>0.08</v>
      </c>
      <c r="Q49" s="41">
        <f t="shared" ref="Q49" si="39">P49*N49</f>
        <v>2.4</v>
      </c>
      <c r="R49" s="41"/>
    </row>
    <row r="50" spans="1:18" ht="24.75" thickBot="1" x14ac:dyDescent="0.3">
      <c r="A50" s="1"/>
      <c r="B50" s="53">
        <f t="shared" si="0"/>
        <v>41</v>
      </c>
      <c r="C50" s="60" t="s">
        <v>368</v>
      </c>
      <c r="D50" s="39" t="s">
        <v>47</v>
      </c>
      <c r="E50" s="40" t="s">
        <v>128</v>
      </c>
      <c r="F50" s="39" t="s">
        <v>355</v>
      </c>
      <c r="G50" s="40" t="s">
        <v>193</v>
      </c>
      <c r="H50" s="39" t="s">
        <v>288</v>
      </c>
      <c r="I50" s="39" t="s">
        <v>361</v>
      </c>
      <c r="J50" s="39" t="s">
        <v>361</v>
      </c>
      <c r="K50" s="40" t="s">
        <v>361</v>
      </c>
      <c r="L50" s="39">
        <v>2</v>
      </c>
      <c r="M50" s="42">
        <f t="shared" si="1"/>
        <v>40</v>
      </c>
      <c r="N50" s="42">
        <v>50</v>
      </c>
      <c r="O50" s="65" t="s">
        <v>435</v>
      </c>
      <c r="P50" s="42">
        <v>1.5</v>
      </c>
      <c r="Q50" s="42">
        <f t="shared" ref="Q50" si="40">N50*P50</f>
        <v>75</v>
      </c>
      <c r="R50" s="42" t="s">
        <v>441</v>
      </c>
    </row>
    <row r="51" spans="1:18" ht="15.75" thickBot="1" x14ac:dyDescent="0.3">
      <c r="A51" s="1"/>
      <c r="B51" s="79">
        <f>ROW(B51) - ROW($B$9)</f>
        <v>42</v>
      </c>
      <c r="C51" s="80" t="s">
        <v>328</v>
      </c>
      <c r="D51" s="81" t="s">
        <v>48</v>
      </c>
      <c r="E51" s="82" t="s">
        <v>129</v>
      </c>
      <c r="F51" s="81" t="s">
        <v>194</v>
      </c>
      <c r="G51" s="82" t="s">
        <v>361</v>
      </c>
      <c r="H51" s="81" t="s">
        <v>361</v>
      </c>
      <c r="I51" s="81"/>
      <c r="J51" s="81"/>
      <c r="K51" s="82" t="s">
        <v>361</v>
      </c>
      <c r="L51" s="81">
        <v>4</v>
      </c>
      <c r="M51" s="83">
        <f t="shared" si="1"/>
        <v>80</v>
      </c>
      <c r="N51" s="83">
        <f t="shared" ref="N51" si="41">M51+(M51*0.1)</f>
        <v>88</v>
      </c>
      <c r="O51" s="83"/>
      <c r="P51" s="83"/>
      <c r="Q51" s="83">
        <f t="shared" ref="Q51" si="42">P51*N51</f>
        <v>0</v>
      </c>
      <c r="R51" s="87" t="s">
        <v>442</v>
      </c>
    </row>
    <row r="52" spans="1:18" ht="15.75" thickBot="1" x14ac:dyDescent="0.3">
      <c r="A52" s="1"/>
      <c r="B52" s="53">
        <f t="shared" si="0"/>
        <v>43</v>
      </c>
      <c r="C52" s="60" t="s">
        <v>369</v>
      </c>
      <c r="D52" s="39" t="s">
        <v>49</v>
      </c>
      <c r="E52" s="40" t="s">
        <v>130</v>
      </c>
      <c r="F52" s="39" t="s">
        <v>195</v>
      </c>
      <c r="G52" s="40">
        <v>61300211121</v>
      </c>
      <c r="H52" s="39" t="s">
        <v>275</v>
      </c>
      <c r="I52" s="39" t="s">
        <v>361</v>
      </c>
      <c r="J52" s="39" t="s">
        <v>361</v>
      </c>
      <c r="K52" s="40" t="s">
        <v>361</v>
      </c>
      <c r="L52" s="39">
        <v>4</v>
      </c>
      <c r="M52" s="42">
        <f t="shared" si="1"/>
        <v>80</v>
      </c>
      <c r="N52" s="42">
        <v>90</v>
      </c>
      <c r="O52" s="65" t="s">
        <v>435</v>
      </c>
      <c r="P52" s="42">
        <v>0.13</v>
      </c>
      <c r="Q52" s="42">
        <f t="shared" ref="Q52" si="43">N52*P52</f>
        <v>11.700000000000001</v>
      </c>
      <c r="R52" s="42" t="s">
        <v>441</v>
      </c>
    </row>
    <row r="53" spans="1:18" ht="48.75" thickBot="1" x14ac:dyDescent="0.3">
      <c r="A53" s="1"/>
      <c r="B53" s="67">
        <f>ROW(B53) - ROW($B$9)</f>
        <v>44</v>
      </c>
      <c r="C53" s="68" t="s">
        <v>371</v>
      </c>
      <c r="D53" s="69" t="s">
        <v>50</v>
      </c>
      <c r="E53" s="70" t="s">
        <v>131</v>
      </c>
      <c r="F53" s="69" t="s">
        <v>196</v>
      </c>
      <c r="G53" s="70" t="s">
        <v>238</v>
      </c>
      <c r="H53" s="69" t="s">
        <v>289</v>
      </c>
      <c r="I53" s="69" t="s">
        <v>443</v>
      </c>
      <c r="J53" s="69" t="s">
        <v>444</v>
      </c>
      <c r="K53" s="70" t="s">
        <v>361</v>
      </c>
      <c r="L53" s="84">
        <v>4</v>
      </c>
      <c r="M53" s="71">
        <f t="shared" si="1"/>
        <v>80</v>
      </c>
      <c r="N53" s="71">
        <v>85</v>
      </c>
      <c r="O53" s="72" t="s">
        <v>391</v>
      </c>
      <c r="P53" s="71">
        <v>0.21740000000000001</v>
      </c>
      <c r="Q53" s="71">
        <f t="shared" ref="Q53" si="44">P53*N53</f>
        <v>18.478999999999999</v>
      </c>
      <c r="R53" s="71" t="s">
        <v>445</v>
      </c>
    </row>
    <row r="54" spans="1:18" ht="15.75" thickBot="1" x14ac:dyDescent="0.3">
      <c r="A54" s="1"/>
      <c r="B54" s="53">
        <f t="shared" si="0"/>
        <v>45</v>
      </c>
      <c r="C54" s="60" t="s">
        <v>372</v>
      </c>
      <c r="D54" s="39" t="s">
        <v>51</v>
      </c>
      <c r="E54" s="40" t="s">
        <v>132</v>
      </c>
      <c r="F54" s="39" t="s">
        <v>197</v>
      </c>
      <c r="G54" s="40" t="s">
        <v>239</v>
      </c>
      <c r="H54" s="39" t="s">
        <v>269</v>
      </c>
      <c r="I54" s="39" t="s">
        <v>361</v>
      </c>
      <c r="J54" s="39" t="s">
        <v>446</v>
      </c>
      <c r="K54" s="40" t="s">
        <v>329</v>
      </c>
      <c r="L54" s="39">
        <v>2</v>
      </c>
      <c r="M54" s="42">
        <f t="shared" si="1"/>
        <v>40</v>
      </c>
      <c r="N54" s="42">
        <v>100</v>
      </c>
      <c r="O54" s="65" t="s">
        <v>391</v>
      </c>
      <c r="P54" s="42">
        <v>1E-3</v>
      </c>
      <c r="Q54" s="42">
        <f t="shared" ref="Q54" si="45">N54*P54</f>
        <v>0.1</v>
      </c>
      <c r="R54" s="42"/>
    </row>
    <row r="55" spans="1:18" ht="24.75" thickBot="1" x14ac:dyDescent="0.3">
      <c r="A55" s="1"/>
      <c r="B55" s="53">
        <f>ROW(B55) - ROW($B$9)</f>
        <v>46</v>
      </c>
      <c r="C55" s="61" t="s">
        <v>372</v>
      </c>
      <c r="D55" s="37" t="s">
        <v>52</v>
      </c>
      <c r="E55" s="38" t="s">
        <v>133</v>
      </c>
      <c r="F55" s="37" t="s">
        <v>197</v>
      </c>
      <c r="G55" s="38" t="s">
        <v>240</v>
      </c>
      <c r="H55" s="37" t="s">
        <v>269</v>
      </c>
      <c r="I55" s="37" t="s">
        <v>361</v>
      </c>
      <c r="J55" s="37" t="s">
        <v>447</v>
      </c>
      <c r="K55" s="38" t="s">
        <v>330</v>
      </c>
      <c r="L55" s="37">
        <v>1</v>
      </c>
      <c r="M55" s="41">
        <f t="shared" si="1"/>
        <v>20</v>
      </c>
      <c r="N55" s="41">
        <v>100</v>
      </c>
      <c r="O55" s="64" t="s">
        <v>391</v>
      </c>
      <c r="P55" s="41">
        <v>1.4E-3</v>
      </c>
      <c r="Q55" s="41">
        <f t="shared" ref="Q55" si="46">P55*N55</f>
        <v>0.13999999999999999</v>
      </c>
      <c r="R55" s="41"/>
    </row>
    <row r="56" spans="1:18" ht="36.75" thickBot="1" x14ac:dyDescent="0.3">
      <c r="A56" s="1"/>
      <c r="B56" s="53">
        <f t="shared" si="0"/>
        <v>47</v>
      </c>
      <c r="C56" s="60" t="s">
        <v>372</v>
      </c>
      <c r="D56" s="39" t="s">
        <v>53</v>
      </c>
      <c r="E56" s="40" t="s">
        <v>134</v>
      </c>
      <c r="F56" s="39" t="s">
        <v>197</v>
      </c>
      <c r="G56" s="40" t="s">
        <v>241</v>
      </c>
      <c r="H56" s="39" t="s">
        <v>290</v>
      </c>
      <c r="I56" s="39" t="s">
        <v>361</v>
      </c>
      <c r="J56" s="39" t="s">
        <v>448</v>
      </c>
      <c r="K56" s="40" t="s">
        <v>331</v>
      </c>
      <c r="L56" s="39">
        <v>1</v>
      </c>
      <c r="M56" s="42">
        <f t="shared" si="1"/>
        <v>20</v>
      </c>
      <c r="N56" s="42">
        <v>100</v>
      </c>
      <c r="O56" s="65" t="s">
        <v>391</v>
      </c>
      <c r="P56" s="42">
        <v>1.6000000000000001E-3</v>
      </c>
      <c r="Q56" s="42">
        <f t="shared" ref="Q56" si="47">N56*P56</f>
        <v>0.16</v>
      </c>
      <c r="R56" s="42"/>
    </row>
    <row r="57" spans="1:18" ht="15.75" thickBot="1" x14ac:dyDescent="0.3">
      <c r="A57" s="1"/>
      <c r="B57" s="53">
        <f>ROW(B57) - ROW($B$9)</f>
        <v>48</v>
      </c>
      <c r="C57" s="61" t="s">
        <v>372</v>
      </c>
      <c r="D57" s="37" t="s">
        <v>54</v>
      </c>
      <c r="E57" s="38" t="s">
        <v>135</v>
      </c>
      <c r="F57" s="37" t="s">
        <v>197</v>
      </c>
      <c r="G57" s="38" t="s">
        <v>242</v>
      </c>
      <c r="H57" s="37" t="s">
        <v>269</v>
      </c>
      <c r="I57" s="37" t="s">
        <v>361</v>
      </c>
      <c r="J57" s="37" t="s">
        <v>449</v>
      </c>
      <c r="K57" s="38" t="s">
        <v>332</v>
      </c>
      <c r="L57" s="37">
        <v>2</v>
      </c>
      <c r="M57" s="41">
        <f t="shared" si="1"/>
        <v>40</v>
      </c>
      <c r="N57" s="41">
        <v>100</v>
      </c>
      <c r="O57" s="64" t="s">
        <v>391</v>
      </c>
      <c r="P57" s="41">
        <v>1.4E-3</v>
      </c>
      <c r="Q57" s="41">
        <f t="shared" ref="Q57" si="48">P57*N57</f>
        <v>0.13999999999999999</v>
      </c>
      <c r="R57" s="41"/>
    </row>
    <row r="58" spans="1:18" ht="15.75" thickBot="1" x14ac:dyDescent="0.3">
      <c r="A58" s="1"/>
      <c r="B58" s="53">
        <f t="shared" si="0"/>
        <v>49</v>
      </c>
      <c r="C58" s="60" t="s">
        <v>372</v>
      </c>
      <c r="D58" s="39" t="s">
        <v>55</v>
      </c>
      <c r="E58" s="40" t="s">
        <v>136</v>
      </c>
      <c r="F58" s="39" t="s">
        <v>197</v>
      </c>
      <c r="G58" s="40" t="s">
        <v>243</v>
      </c>
      <c r="H58" s="39" t="s">
        <v>269</v>
      </c>
      <c r="I58" s="39" t="s">
        <v>361</v>
      </c>
      <c r="J58" s="39" t="s">
        <v>450</v>
      </c>
      <c r="K58" s="40" t="s">
        <v>333</v>
      </c>
      <c r="L58" s="39">
        <v>4</v>
      </c>
      <c r="M58" s="42">
        <f t="shared" si="1"/>
        <v>80</v>
      </c>
      <c r="N58" s="42">
        <v>100</v>
      </c>
      <c r="O58" s="65" t="s">
        <v>391</v>
      </c>
      <c r="P58" s="42">
        <v>1.2999999999999999E-3</v>
      </c>
      <c r="Q58" s="42">
        <f t="shared" ref="Q58" si="49">N58*P58</f>
        <v>0.13</v>
      </c>
      <c r="R58" s="42"/>
    </row>
    <row r="59" spans="1:18" ht="36.75" thickBot="1" x14ac:dyDescent="0.3">
      <c r="A59" s="1"/>
      <c r="B59" s="53">
        <f>ROW(B59) - ROW($B$9)</f>
        <v>50</v>
      </c>
      <c r="C59" s="61" t="s">
        <v>372</v>
      </c>
      <c r="D59" s="37" t="s">
        <v>56</v>
      </c>
      <c r="E59" s="38" t="s">
        <v>137</v>
      </c>
      <c r="F59" s="37" t="s">
        <v>198</v>
      </c>
      <c r="G59" s="38" t="s">
        <v>377</v>
      </c>
      <c r="H59" s="37" t="s">
        <v>291</v>
      </c>
      <c r="I59" s="37" t="s">
        <v>451</v>
      </c>
      <c r="J59" s="37" t="s">
        <v>452</v>
      </c>
      <c r="K59" s="38" t="s">
        <v>334</v>
      </c>
      <c r="L59" s="37">
        <v>4</v>
      </c>
      <c r="M59" s="41">
        <f t="shared" si="1"/>
        <v>80</v>
      </c>
      <c r="N59" s="41">
        <v>90</v>
      </c>
      <c r="O59" s="64" t="s">
        <v>391</v>
      </c>
      <c r="P59" s="41">
        <v>6.4500000000000002E-2</v>
      </c>
      <c r="Q59" s="41">
        <f t="shared" ref="Q59" si="50">P59*N59</f>
        <v>5.8049999999999997</v>
      </c>
      <c r="R59" s="41"/>
    </row>
    <row r="60" spans="1:18" ht="36.75" thickBot="1" x14ac:dyDescent="0.3">
      <c r="A60" s="1"/>
      <c r="B60" s="53">
        <f t="shared" si="0"/>
        <v>51</v>
      </c>
      <c r="C60" s="60" t="s">
        <v>372</v>
      </c>
      <c r="D60" s="75" t="s">
        <v>464</v>
      </c>
      <c r="E60" s="40" t="s">
        <v>138</v>
      </c>
      <c r="F60" s="39" t="s">
        <v>197</v>
      </c>
      <c r="G60" s="40" t="s">
        <v>244</v>
      </c>
      <c r="H60" s="39" t="s">
        <v>269</v>
      </c>
      <c r="I60" s="39"/>
      <c r="J60" s="39" t="s">
        <v>453</v>
      </c>
      <c r="K60" s="40" t="s">
        <v>335</v>
      </c>
      <c r="L60" s="86">
        <v>9</v>
      </c>
      <c r="M60" s="42">
        <f t="shared" si="1"/>
        <v>180</v>
      </c>
      <c r="N60" s="42">
        <v>200</v>
      </c>
      <c r="O60" s="65" t="s">
        <v>391</v>
      </c>
      <c r="P60" s="42">
        <v>1.5E-3</v>
      </c>
      <c r="Q60" s="42">
        <f t="shared" ref="Q60" si="51">N60*P60</f>
        <v>0.3</v>
      </c>
      <c r="R60" s="42" t="s">
        <v>465</v>
      </c>
    </row>
    <row r="61" spans="1:18" ht="15.75" thickBot="1" x14ac:dyDescent="0.3">
      <c r="A61" s="1"/>
      <c r="B61" s="53">
        <f>ROW(B61) - ROW($B$9)</f>
        <v>52</v>
      </c>
      <c r="C61" s="61" t="s">
        <v>372</v>
      </c>
      <c r="D61" s="37" t="s">
        <v>57</v>
      </c>
      <c r="E61" s="38" t="s">
        <v>139</v>
      </c>
      <c r="F61" s="37" t="s">
        <v>197</v>
      </c>
      <c r="G61" s="38" t="s">
        <v>245</v>
      </c>
      <c r="H61" s="37" t="s">
        <v>292</v>
      </c>
      <c r="I61" s="37" t="s">
        <v>361</v>
      </c>
      <c r="J61" s="37" t="s">
        <v>361</v>
      </c>
      <c r="K61" s="38" t="s">
        <v>336</v>
      </c>
      <c r="L61" s="37">
        <v>1</v>
      </c>
      <c r="M61" s="41">
        <f t="shared" si="1"/>
        <v>20</v>
      </c>
      <c r="N61" s="41">
        <v>30</v>
      </c>
      <c r="O61" s="64" t="s">
        <v>439</v>
      </c>
      <c r="P61" s="41">
        <v>1.8589999999999999E-2</v>
      </c>
      <c r="Q61" s="41">
        <f t="shared" ref="Q61" si="52">P61*N61</f>
        <v>0.55769999999999997</v>
      </c>
      <c r="R61" s="41"/>
    </row>
    <row r="62" spans="1:18" ht="15.75" thickBot="1" x14ac:dyDescent="0.3">
      <c r="A62" s="1"/>
      <c r="B62" s="53">
        <f t="shared" si="0"/>
        <v>53</v>
      </c>
      <c r="C62" s="60" t="s">
        <v>372</v>
      </c>
      <c r="D62" s="39" t="s">
        <v>58</v>
      </c>
      <c r="E62" s="40" t="s">
        <v>140</v>
      </c>
      <c r="F62" s="39" t="s">
        <v>197</v>
      </c>
      <c r="G62" s="40" t="s">
        <v>246</v>
      </c>
      <c r="H62" s="39" t="s">
        <v>269</v>
      </c>
      <c r="I62" s="39" t="s">
        <v>361</v>
      </c>
      <c r="J62" s="39" t="s">
        <v>454</v>
      </c>
      <c r="K62" s="40" t="s">
        <v>337</v>
      </c>
      <c r="L62" s="39">
        <v>1</v>
      </c>
      <c r="M62" s="42">
        <f t="shared" si="1"/>
        <v>20</v>
      </c>
      <c r="N62" s="42">
        <v>100</v>
      </c>
      <c r="O62" s="65" t="s">
        <v>391</v>
      </c>
      <c r="P62" s="42">
        <v>1.4E-3</v>
      </c>
      <c r="Q62" s="42">
        <f t="shared" ref="Q62" si="53">N62*P62</f>
        <v>0.13999999999999999</v>
      </c>
      <c r="R62" s="42"/>
    </row>
    <row r="63" spans="1:18" ht="15.75" thickBot="1" x14ac:dyDescent="0.3">
      <c r="A63" s="1"/>
      <c r="B63" s="53">
        <f>ROW(B63) - ROW($B$9)</f>
        <v>54</v>
      </c>
      <c r="C63" s="61" t="s">
        <v>372</v>
      </c>
      <c r="D63" s="37" t="s">
        <v>59</v>
      </c>
      <c r="E63" s="38" t="s">
        <v>141</v>
      </c>
      <c r="F63" s="37" t="s">
        <v>197</v>
      </c>
      <c r="G63" s="38" t="s">
        <v>247</v>
      </c>
      <c r="H63" s="37" t="s">
        <v>292</v>
      </c>
      <c r="I63" s="37" t="s">
        <v>361</v>
      </c>
      <c r="J63" s="37" t="s">
        <v>361</v>
      </c>
      <c r="K63" s="38" t="s">
        <v>338</v>
      </c>
      <c r="L63" s="37">
        <v>1</v>
      </c>
      <c r="M63" s="41">
        <f t="shared" si="1"/>
        <v>20</v>
      </c>
      <c r="N63" s="41">
        <v>50</v>
      </c>
      <c r="O63" s="64" t="s">
        <v>439</v>
      </c>
      <c r="P63" s="41">
        <v>4.6699999999999997E-3</v>
      </c>
      <c r="Q63" s="41">
        <f t="shared" ref="Q63" si="54">P63*N63</f>
        <v>0.23349999999999999</v>
      </c>
      <c r="R63" s="41"/>
    </row>
    <row r="64" spans="1:18" ht="15.75" thickBot="1" x14ac:dyDescent="0.3">
      <c r="A64" s="1"/>
      <c r="B64" s="53">
        <f t="shared" si="0"/>
        <v>55</v>
      </c>
      <c r="C64" s="60" t="s">
        <v>372</v>
      </c>
      <c r="D64" s="39" t="s">
        <v>60</v>
      </c>
      <c r="E64" s="40" t="s">
        <v>142</v>
      </c>
      <c r="F64" s="39" t="s">
        <v>197</v>
      </c>
      <c r="G64" s="40" t="s">
        <v>248</v>
      </c>
      <c r="H64" s="39" t="s">
        <v>269</v>
      </c>
      <c r="I64" s="39" t="s">
        <v>361</v>
      </c>
      <c r="J64" s="39" t="s">
        <v>455</v>
      </c>
      <c r="K64" s="40" t="s">
        <v>339</v>
      </c>
      <c r="L64" s="39">
        <v>1</v>
      </c>
      <c r="M64" s="42">
        <f t="shared" si="1"/>
        <v>20</v>
      </c>
      <c r="N64" s="42">
        <v>100</v>
      </c>
      <c r="O64" s="65" t="s">
        <v>391</v>
      </c>
      <c r="P64" s="42">
        <v>1.1999999999999999E-3</v>
      </c>
      <c r="Q64" s="42">
        <f t="shared" ref="Q64" si="55">N64*P64</f>
        <v>0.12</v>
      </c>
      <c r="R64" s="42"/>
    </row>
    <row r="65" spans="1:18" ht="15.75" thickBot="1" x14ac:dyDescent="0.3">
      <c r="A65" s="1"/>
      <c r="B65" s="53">
        <f>ROW(B65) - ROW($B$9)</f>
        <v>56</v>
      </c>
      <c r="C65" s="61" t="s">
        <v>372</v>
      </c>
      <c r="D65" s="37" t="s">
        <v>61</v>
      </c>
      <c r="E65" s="38" t="s">
        <v>143</v>
      </c>
      <c r="F65" s="37" t="s">
        <v>197</v>
      </c>
      <c r="G65" s="38" t="s">
        <v>249</v>
      </c>
      <c r="H65" s="37" t="s">
        <v>292</v>
      </c>
      <c r="I65" s="37" t="s">
        <v>361</v>
      </c>
      <c r="J65" s="37" t="s">
        <v>361</v>
      </c>
      <c r="K65" s="38" t="s">
        <v>340</v>
      </c>
      <c r="L65" s="37">
        <v>1</v>
      </c>
      <c r="M65" s="41">
        <f t="shared" si="1"/>
        <v>20</v>
      </c>
      <c r="N65" s="41">
        <v>50</v>
      </c>
      <c r="O65" s="64" t="s">
        <v>439</v>
      </c>
      <c r="P65" s="41">
        <v>1.11E-2</v>
      </c>
      <c r="Q65" s="41">
        <f t="shared" ref="Q65" si="56">P65*N65</f>
        <v>0.55500000000000005</v>
      </c>
      <c r="R65" s="41"/>
    </row>
    <row r="66" spans="1:18" ht="15.75" thickBot="1" x14ac:dyDescent="0.3">
      <c r="A66" s="1"/>
      <c r="B66" s="53">
        <f t="shared" si="0"/>
        <v>57</v>
      </c>
      <c r="C66" s="60" t="s">
        <v>372</v>
      </c>
      <c r="D66" s="39" t="s">
        <v>62</v>
      </c>
      <c r="E66" s="40" t="s">
        <v>144</v>
      </c>
      <c r="F66" s="39" t="s">
        <v>197</v>
      </c>
      <c r="G66" s="40" t="s">
        <v>250</v>
      </c>
      <c r="H66" s="39" t="s">
        <v>269</v>
      </c>
      <c r="I66" s="39" t="s">
        <v>361</v>
      </c>
      <c r="J66" s="39" t="s">
        <v>456</v>
      </c>
      <c r="K66" s="40" t="s">
        <v>341</v>
      </c>
      <c r="L66" s="39">
        <v>1</v>
      </c>
      <c r="M66" s="42">
        <f t="shared" si="1"/>
        <v>20</v>
      </c>
      <c r="N66" s="42">
        <v>100</v>
      </c>
      <c r="O66" s="65" t="s">
        <v>391</v>
      </c>
      <c r="P66" s="42">
        <v>2.0999999999999999E-3</v>
      </c>
      <c r="Q66" s="42">
        <f t="shared" ref="Q66" si="57">N66*P66</f>
        <v>0.21</v>
      </c>
      <c r="R66" s="42"/>
    </row>
    <row r="67" spans="1:18" ht="15.75" thickBot="1" x14ac:dyDescent="0.3">
      <c r="A67" s="1"/>
      <c r="B67" s="53">
        <f>ROW(B67) - ROW($B$9)</f>
        <v>58</v>
      </c>
      <c r="C67" s="61" t="s">
        <v>372</v>
      </c>
      <c r="D67" s="37" t="s">
        <v>63</v>
      </c>
      <c r="E67" s="38" t="s">
        <v>145</v>
      </c>
      <c r="F67" s="37" t="s">
        <v>197</v>
      </c>
      <c r="G67" s="38" t="s">
        <v>251</v>
      </c>
      <c r="H67" s="37" t="s">
        <v>269</v>
      </c>
      <c r="I67" s="37" t="s">
        <v>361</v>
      </c>
      <c r="J67" s="37" t="s">
        <v>457</v>
      </c>
      <c r="K67" s="38" t="s">
        <v>342</v>
      </c>
      <c r="L67" s="37">
        <v>1</v>
      </c>
      <c r="M67" s="41">
        <f t="shared" si="1"/>
        <v>20</v>
      </c>
      <c r="N67" s="41">
        <v>100</v>
      </c>
      <c r="O67" s="64" t="s">
        <v>391</v>
      </c>
      <c r="P67" s="41">
        <v>1.6000000000000001E-3</v>
      </c>
      <c r="Q67" s="41">
        <f t="shared" ref="Q67" si="58">P67*N67</f>
        <v>0.16</v>
      </c>
      <c r="R67" s="41"/>
    </row>
    <row r="68" spans="1:18" ht="15.75" thickBot="1" x14ac:dyDescent="0.3">
      <c r="A68" s="1"/>
      <c r="B68" s="53">
        <f t="shared" si="0"/>
        <v>59</v>
      </c>
      <c r="C68" s="60" t="s">
        <v>372</v>
      </c>
      <c r="D68" s="39" t="s">
        <v>64</v>
      </c>
      <c r="E68" s="40" t="s">
        <v>146</v>
      </c>
      <c r="F68" s="39" t="s">
        <v>197</v>
      </c>
      <c r="G68" s="40" t="s">
        <v>252</v>
      </c>
      <c r="H68" s="39" t="s">
        <v>269</v>
      </c>
      <c r="I68" s="39" t="s">
        <v>458</v>
      </c>
      <c r="J68" s="39" t="s">
        <v>459</v>
      </c>
      <c r="K68" s="40" t="s">
        <v>343</v>
      </c>
      <c r="L68" s="39">
        <v>1</v>
      </c>
      <c r="M68" s="42">
        <f t="shared" si="1"/>
        <v>20</v>
      </c>
      <c r="N68" s="42">
        <v>50</v>
      </c>
      <c r="O68" s="65" t="s">
        <v>391</v>
      </c>
      <c r="P68" s="42">
        <v>6.8999999999999999E-3</v>
      </c>
      <c r="Q68" s="42">
        <f t="shared" ref="Q68" si="59">N68*P68</f>
        <v>0.34499999999999997</v>
      </c>
      <c r="R68" s="42"/>
    </row>
    <row r="69" spans="1:18" ht="36.75" thickBot="1" x14ac:dyDescent="0.3">
      <c r="A69" s="1"/>
      <c r="B69" s="53">
        <f>ROW(B69) - ROW($B$9)</f>
        <v>60</v>
      </c>
      <c r="C69" s="61" t="s">
        <v>372</v>
      </c>
      <c r="D69" s="69" t="s">
        <v>461</v>
      </c>
      <c r="E69" s="38" t="s">
        <v>147</v>
      </c>
      <c r="F69" s="37" t="s">
        <v>197</v>
      </c>
      <c r="G69" s="38" t="s">
        <v>253</v>
      </c>
      <c r="H69" s="37" t="s">
        <v>269</v>
      </c>
      <c r="I69" s="37" t="s">
        <v>361</v>
      </c>
      <c r="J69" s="37" t="s">
        <v>460</v>
      </c>
      <c r="K69" s="38" t="s">
        <v>344</v>
      </c>
      <c r="L69" s="85">
        <v>2</v>
      </c>
      <c r="M69" s="41">
        <f t="shared" si="1"/>
        <v>40</v>
      </c>
      <c r="N69" s="41">
        <v>100</v>
      </c>
      <c r="O69" s="64" t="s">
        <v>391</v>
      </c>
      <c r="P69" s="41">
        <v>1.1000000000000001E-3</v>
      </c>
      <c r="Q69" s="41">
        <f t="shared" ref="Q69" si="60">P69*N69</f>
        <v>0.11</v>
      </c>
      <c r="R69" s="41" t="s">
        <v>463</v>
      </c>
    </row>
    <row r="70" spans="1:18" ht="15.75" thickBot="1" x14ac:dyDescent="0.3">
      <c r="A70" s="1"/>
      <c r="B70" s="53">
        <f>ROW(B70) - ROW($B$9)</f>
        <v>61</v>
      </c>
      <c r="C70" s="61" t="s">
        <v>372</v>
      </c>
      <c r="D70" s="37" t="s">
        <v>65</v>
      </c>
      <c r="E70" s="38" t="s">
        <v>148</v>
      </c>
      <c r="F70" s="37" t="s">
        <v>197</v>
      </c>
      <c r="G70" s="38" t="s">
        <v>254</v>
      </c>
      <c r="H70" s="37" t="s">
        <v>269</v>
      </c>
      <c r="I70" s="37" t="s">
        <v>361</v>
      </c>
      <c r="J70" s="37" t="s">
        <v>462</v>
      </c>
      <c r="K70" s="38" t="s">
        <v>345</v>
      </c>
      <c r="L70" s="37">
        <v>2</v>
      </c>
      <c r="M70" s="41">
        <f t="shared" si="1"/>
        <v>40</v>
      </c>
      <c r="N70" s="41">
        <v>100</v>
      </c>
      <c r="O70" s="64" t="s">
        <v>391</v>
      </c>
      <c r="P70" s="41">
        <v>1.5E-3</v>
      </c>
      <c r="Q70" s="41">
        <f t="shared" ref="Q70" si="61">P70*N70</f>
        <v>0.15</v>
      </c>
      <c r="R70" s="41"/>
    </row>
    <row r="71" spans="1:18" ht="15.75" thickBot="1" x14ac:dyDescent="0.3">
      <c r="A71" s="1"/>
      <c r="B71" s="53">
        <f>ROW(B71) - ROW($B$9)</f>
        <v>62</v>
      </c>
      <c r="C71" s="61" t="s">
        <v>372</v>
      </c>
      <c r="D71" s="37" t="s">
        <v>66</v>
      </c>
      <c r="E71" s="38" t="s">
        <v>149</v>
      </c>
      <c r="F71" s="37" t="s">
        <v>197</v>
      </c>
      <c r="G71" s="38" t="s">
        <v>255</v>
      </c>
      <c r="H71" s="37" t="s">
        <v>269</v>
      </c>
      <c r="I71" s="37" t="s">
        <v>361</v>
      </c>
      <c r="J71" s="37" t="s">
        <v>466</v>
      </c>
      <c r="K71" s="38" t="s">
        <v>346</v>
      </c>
      <c r="L71" s="37">
        <v>2</v>
      </c>
      <c r="M71" s="41">
        <f t="shared" si="1"/>
        <v>40</v>
      </c>
      <c r="N71" s="41">
        <v>100</v>
      </c>
      <c r="O71" s="64" t="s">
        <v>391</v>
      </c>
      <c r="P71" s="41">
        <v>1.5E-3</v>
      </c>
      <c r="Q71" s="41">
        <f t="shared" ref="Q71" si="62">P71*N71</f>
        <v>0.15</v>
      </c>
      <c r="R71" s="41"/>
    </row>
    <row r="72" spans="1:18" ht="15.75" thickBot="1" x14ac:dyDescent="0.3">
      <c r="A72" s="1"/>
      <c r="B72" s="53">
        <f t="shared" si="0"/>
        <v>63</v>
      </c>
      <c r="C72" s="60" t="s">
        <v>372</v>
      </c>
      <c r="D72" s="39" t="s">
        <v>67</v>
      </c>
      <c r="E72" s="40" t="s">
        <v>150</v>
      </c>
      <c r="F72" s="39" t="s">
        <v>197</v>
      </c>
      <c r="G72" s="40" t="s">
        <v>256</v>
      </c>
      <c r="H72" s="39" t="s">
        <v>292</v>
      </c>
      <c r="I72" s="39" t="s">
        <v>361</v>
      </c>
      <c r="J72" s="39" t="s">
        <v>361</v>
      </c>
      <c r="K72" s="40" t="s">
        <v>347</v>
      </c>
      <c r="L72" s="39">
        <v>1</v>
      </c>
      <c r="M72" s="42">
        <f t="shared" si="1"/>
        <v>20</v>
      </c>
      <c r="N72" s="42">
        <v>25</v>
      </c>
      <c r="O72" s="65" t="s">
        <v>467</v>
      </c>
      <c r="P72" s="42">
        <v>8.5400000000000004E-2</v>
      </c>
      <c r="Q72" s="42">
        <f t="shared" ref="Q72" si="63">N72*P72</f>
        <v>2.1350000000000002</v>
      </c>
      <c r="R72" s="42"/>
    </row>
    <row r="73" spans="1:18" ht="15.75" thickBot="1" x14ac:dyDescent="0.3">
      <c r="A73" s="1"/>
      <c r="B73" s="53">
        <f>ROW(B73) - ROW($B$9)</f>
        <v>64</v>
      </c>
      <c r="C73" s="61" t="s">
        <v>372</v>
      </c>
      <c r="D73" s="37" t="s">
        <v>68</v>
      </c>
      <c r="E73" s="38" t="s">
        <v>151</v>
      </c>
      <c r="F73" s="37" t="s">
        <v>199</v>
      </c>
      <c r="G73" s="38" t="s">
        <v>257</v>
      </c>
      <c r="H73" s="37" t="s">
        <v>269</v>
      </c>
      <c r="I73" s="37" t="s">
        <v>361</v>
      </c>
      <c r="J73" s="37" t="s">
        <v>468</v>
      </c>
      <c r="K73" s="38" t="s">
        <v>348</v>
      </c>
      <c r="L73" s="37">
        <v>1</v>
      </c>
      <c r="M73" s="41">
        <f t="shared" ref="M73:M91" si="64">L73*20</f>
        <v>20</v>
      </c>
      <c r="N73" s="41">
        <v>100</v>
      </c>
      <c r="O73" s="64" t="s">
        <v>391</v>
      </c>
      <c r="P73" s="41">
        <v>1.1999999999999999E-3</v>
      </c>
      <c r="Q73" s="41">
        <f t="shared" ref="Q73" si="65">P73*N73</f>
        <v>0.12</v>
      </c>
      <c r="R73" s="41"/>
    </row>
    <row r="74" spans="1:18" ht="15.75" thickBot="1" x14ac:dyDescent="0.3">
      <c r="A74" s="1"/>
      <c r="B74" s="53">
        <f t="shared" si="0"/>
        <v>65</v>
      </c>
      <c r="C74" s="60" t="s">
        <v>372</v>
      </c>
      <c r="D74" s="39" t="s">
        <v>69</v>
      </c>
      <c r="E74" s="40" t="s">
        <v>152</v>
      </c>
      <c r="F74" s="39" t="s">
        <v>197</v>
      </c>
      <c r="G74" s="40" t="s">
        <v>258</v>
      </c>
      <c r="H74" s="39" t="s">
        <v>292</v>
      </c>
      <c r="I74" s="39" t="s">
        <v>361</v>
      </c>
      <c r="J74" s="39" t="s">
        <v>361</v>
      </c>
      <c r="K74" s="40" t="s">
        <v>349</v>
      </c>
      <c r="L74" s="39">
        <v>1</v>
      </c>
      <c r="M74" s="42">
        <f t="shared" si="64"/>
        <v>20</v>
      </c>
      <c r="N74" s="42">
        <v>25</v>
      </c>
      <c r="O74" s="65" t="s">
        <v>439</v>
      </c>
      <c r="P74" s="42">
        <v>1.8589999999999999E-2</v>
      </c>
      <c r="Q74" s="42">
        <f t="shared" ref="Q74" si="66">N74*P74</f>
        <v>0.46475</v>
      </c>
      <c r="R74" s="42"/>
    </row>
    <row r="75" spans="1:18" ht="36.75" thickBot="1" x14ac:dyDescent="0.3">
      <c r="A75" s="1"/>
      <c r="B75" s="53">
        <f>ROW(B75) - ROW($B$9)</f>
        <v>66</v>
      </c>
      <c r="C75" s="61" t="s">
        <v>372</v>
      </c>
      <c r="D75" s="37" t="s">
        <v>70</v>
      </c>
      <c r="E75" s="38" t="s">
        <v>153</v>
      </c>
      <c r="F75" s="37" t="s">
        <v>197</v>
      </c>
      <c r="G75" s="38" t="s">
        <v>378</v>
      </c>
      <c r="H75" s="37" t="s">
        <v>293</v>
      </c>
      <c r="I75" s="37" t="s">
        <v>361</v>
      </c>
      <c r="J75" s="37" t="s">
        <v>469</v>
      </c>
      <c r="K75" s="38" t="s">
        <v>350</v>
      </c>
      <c r="L75" s="37">
        <v>1</v>
      </c>
      <c r="M75" s="41">
        <f t="shared" si="64"/>
        <v>20</v>
      </c>
      <c r="N75" s="41">
        <v>100</v>
      </c>
      <c r="O75" s="64" t="s">
        <v>391</v>
      </c>
      <c r="P75" s="41">
        <v>1E-3</v>
      </c>
      <c r="Q75" s="41">
        <f t="shared" ref="Q75" si="67">P75*N75</f>
        <v>0.1</v>
      </c>
      <c r="R75" s="41"/>
    </row>
    <row r="76" spans="1:18" ht="36.75" thickBot="1" x14ac:dyDescent="0.3">
      <c r="A76" s="1"/>
      <c r="B76" s="53">
        <f t="shared" si="0"/>
        <v>67</v>
      </c>
      <c r="C76" s="60" t="s">
        <v>372</v>
      </c>
      <c r="D76" s="39" t="s">
        <v>71</v>
      </c>
      <c r="E76" s="40" t="s">
        <v>154</v>
      </c>
      <c r="F76" s="39" t="s">
        <v>197</v>
      </c>
      <c r="G76" s="40" t="s">
        <v>379</v>
      </c>
      <c r="H76" s="39" t="s">
        <v>294</v>
      </c>
      <c r="I76" s="39" t="s">
        <v>361</v>
      </c>
      <c r="J76" s="39" t="s">
        <v>470</v>
      </c>
      <c r="K76" s="40" t="s">
        <v>351</v>
      </c>
      <c r="L76" s="39">
        <v>1</v>
      </c>
      <c r="M76" s="42">
        <f t="shared" si="64"/>
        <v>20</v>
      </c>
      <c r="N76" s="42">
        <v>50</v>
      </c>
      <c r="O76" s="65" t="s">
        <v>391</v>
      </c>
      <c r="P76" s="42">
        <v>4.3E-3</v>
      </c>
      <c r="Q76" s="42">
        <f t="shared" ref="Q76" si="68">N76*P76</f>
        <v>0.215</v>
      </c>
      <c r="R76" s="42"/>
    </row>
    <row r="77" spans="1:18" ht="15.75" thickBot="1" x14ac:dyDescent="0.3">
      <c r="A77" s="1"/>
      <c r="B77" s="53">
        <f>ROW(B77) - ROW($B$9)</f>
        <v>68</v>
      </c>
      <c r="C77" s="61" t="s">
        <v>372</v>
      </c>
      <c r="D77" s="37" t="s">
        <v>72</v>
      </c>
      <c r="E77" s="38" t="s">
        <v>155</v>
      </c>
      <c r="F77" s="37" t="s">
        <v>200</v>
      </c>
      <c r="G77" s="38" t="s">
        <v>259</v>
      </c>
      <c r="H77" s="37" t="s">
        <v>269</v>
      </c>
      <c r="I77" s="37" t="s">
        <v>361</v>
      </c>
      <c r="J77" s="37" t="s">
        <v>471</v>
      </c>
      <c r="K77" s="38" t="s">
        <v>352</v>
      </c>
      <c r="L77" s="37">
        <v>4</v>
      </c>
      <c r="M77" s="41">
        <f t="shared" si="64"/>
        <v>80</v>
      </c>
      <c r="N77" s="41">
        <v>100</v>
      </c>
      <c r="O77" s="64" t="s">
        <v>391</v>
      </c>
      <c r="P77" s="41">
        <v>1.1999999999999999E-3</v>
      </c>
      <c r="Q77" s="41">
        <f t="shared" ref="Q77" si="69">P77*N77</f>
        <v>0.12</v>
      </c>
      <c r="R77" s="41"/>
    </row>
    <row r="78" spans="1:18" ht="15.75" thickBot="1" x14ac:dyDescent="0.3">
      <c r="A78" s="1"/>
      <c r="B78" s="53">
        <f t="shared" si="0"/>
        <v>69</v>
      </c>
      <c r="C78" s="60" t="s">
        <v>372</v>
      </c>
      <c r="D78" s="39" t="s">
        <v>73</v>
      </c>
      <c r="E78" s="40" t="s">
        <v>156</v>
      </c>
      <c r="F78" s="39" t="s">
        <v>197</v>
      </c>
      <c r="G78" s="40" t="s">
        <v>260</v>
      </c>
      <c r="H78" s="39" t="s">
        <v>269</v>
      </c>
      <c r="I78" s="39" t="s">
        <v>361</v>
      </c>
      <c r="J78" s="39" t="s">
        <v>472</v>
      </c>
      <c r="K78" s="40" t="s">
        <v>353</v>
      </c>
      <c r="L78" s="39">
        <v>4</v>
      </c>
      <c r="M78" s="42">
        <f t="shared" si="64"/>
        <v>80</v>
      </c>
      <c r="N78" s="42">
        <v>100</v>
      </c>
      <c r="O78" s="65" t="s">
        <v>391</v>
      </c>
      <c r="P78" s="42">
        <v>1.1999999999999999E-3</v>
      </c>
      <c r="Q78" s="42">
        <f t="shared" ref="Q78" si="70">N78*P78</f>
        <v>0.12</v>
      </c>
      <c r="R78" s="42"/>
    </row>
    <row r="79" spans="1:18" ht="24.75" thickBot="1" x14ac:dyDescent="0.3">
      <c r="A79" s="1"/>
      <c r="B79" s="79">
        <f>ROW(B79) - ROW($B$9)</f>
        <v>70</v>
      </c>
      <c r="C79" s="80" t="s">
        <v>201</v>
      </c>
      <c r="D79" s="81" t="s">
        <v>74</v>
      </c>
      <c r="E79" s="82" t="s">
        <v>157</v>
      </c>
      <c r="F79" s="81" t="s">
        <v>201</v>
      </c>
      <c r="G79" s="82" t="s">
        <v>361</v>
      </c>
      <c r="H79" s="81" t="s">
        <v>361</v>
      </c>
      <c r="I79" s="81" t="s">
        <v>361</v>
      </c>
      <c r="J79" s="81" t="s">
        <v>361</v>
      </c>
      <c r="K79" s="82" t="s">
        <v>361</v>
      </c>
      <c r="L79" s="81">
        <v>11</v>
      </c>
      <c r="M79" s="83">
        <f t="shared" si="64"/>
        <v>220</v>
      </c>
      <c r="N79" s="83">
        <f t="shared" ref="N79:N91" si="71">M79+(M79*0.1)</f>
        <v>242</v>
      </c>
      <c r="O79" s="83"/>
      <c r="P79" s="83"/>
      <c r="Q79" s="83">
        <f t="shared" ref="Q79" si="72">P79*N79</f>
        <v>0</v>
      </c>
      <c r="R79" s="87" t="s">
        <v>442</v>
      </c>
    </row>
    <row r="80" spans="1:18" ht="36.75" thickBot="1" x14ac:dyDescent="0.3">
      <c r="A80" s="1"/>
      <c r="B80" s="53">
        <f t="shared" si="0"/>
        <v>71</v>
      </c>
      <c r="C80" s="60" t="s">
        <v>374</v>
      </c>
      <c r="D80" s="39" t="s">
        <v>75</v>
      </c>
      <c r="E80" s="40" t="s">
        <v>158</v>
      </c>
      <c r="F80" s="39" t="s">
        <v>202</v>
      </c>
      <c r="G80" s="40"/>
      <c r="H80" s="39" t="s">
        <v>295</v>
      </c>
      <c r="I80" s="39" t="s">
        <v>361</v>
      </c>
      <c r="J80" s="39" t="s">
        <v>361</v>
      </c>
      <c r="K80" s="40" t="s">
        <v>361</v>
      </c>
      <c r="L80" s="39">
        <v>1</v>
      </c>
      <c r="M80" s="42">
        <f t="shared" si="64"/>
        <v>20</v>
      </c>
      <c r="N80" s="42">
        <f t="shared" si="71"/>
        <v>22</v>
      </c>
      <c r="O80" s="42"/>
      <c r="P80" s="42"/>
      <c r="Q80" s="42">
        <f t="shared" ref="Q80" si="73">N80*P80</f>
        <v>0</v>
      </c>
      <c r="R80" s="42"/>
    </row>
    <row r="81" spans="1:18" ht="24.75" thickBot="1" x14ac:dyDescent="0.3">
      <c r="A81" s="1"/>
      <c r="B81" s="53">
        <f>ROW(B81) - ROW($B$9)</f>
        <v>72</v>
      </c>
      <c r="C81" s="61" t="s">
        <v>375</v>
      </c>
      <c r="D81" s="37" t="s">
        <v>76</v>
      </c>
      <c r="E81" s="38" t="s">
        <v>159</v>
      </c>
      <c r="F81" s="37" t="s">
        <v>355</v>
      </c>
      <c r="G81" s="38">
        <v>750314597</v>
      </c>
      <c r="H81" s="37" t="s">
        <v>296</v>
      </c>
      <c r="I81" s="37" t="s">
        <v>361</v>
      </c>
      <c r="J81" s="37" t="s">
        <v>361</v>
      </c>
      <c r="K81" s="38" t="s">
        <v>361</v>
      </c>
      <c r="L81" s="37">
        <v>1</v>
      </c>
      <c r="M81" s="41">
        <f t="shared" si="64"/>
        <v>20</v>
      </c>
      <c r="N81" s="41">
        <v>21</v>
      </c>
      <c r="O81" s="64" t="s">
        <v>435</v>
      </c>
      <c r="P81" s="41">
        <v>3.81</v>
      </c>
      <c r="Q81" s="41">
        <f t="shared" ref="Q81" si="74">P81*N81</f>
        <v>80.010000000000005</v>
      </c>
      <c r="R81" s="41"/>
    </row>
    <row r="82" spans="1:18" ht="15.75" thickBot="1" x14ac:dyDescent="0.3">
      <c r="A82" s="1"/>
      <c r="B82" s="53">
        <f t="shared" si="0"/>
        <v>73</v>
      </c>
      <c r="C82" s="60" t="s">
        <v>376</v>
      </c>
      <c r="D82" s="39" t="s">
        <v>77</v>
      </c>
      <c r="E82" s="40" t="s">
        <v>160</v>
      </c>
      <c r="F82" s="39" t="s">
        <v>355</v>
      </c>
      <c r="G82" s="40" t="s">
        <v>203</v>
      </c>
      <c r="H82" s="39" t="s">
        <v>297</v>
      </c>
      <c r="I82" s="39" t="s">
        <v>361</v>
      </c>
      <c r="J82" s="39" t="s">
        <v>361</v>
      </c>
      <c r="K82" s="40" t="s">
        <v>361</v>
      </c>
      <c r="L82" s="39">
        <v>1</v>
      </c>
      <c r="M82" s="42">
        <f t="shared" si="64"/>
        <v>20</v>
      </c>
      <c r="N82" s="42">
        <v>21</v>
      </c>
      <c r="O82" s="65" t="s">
        <v>473</v>
      </c>
      <c r="P82" s="42">
        <v>2.48</v>
      </c>
      <c r="Q82" s="42">
        <f t="shared" ref="Q82" si="75">N82*P82</f>
        <v>52.08</v>
      </c>
      <c r="R82" s="42"/>
    </row>
    <row r="83" spans="1:18" ht="36.75" thickBot="1" x14ac:dyDescent="0.3">
      <c r="A83" s="1"/>
      <c r="B83" s="91">
        <f>ROW(B83) - ROW($B$9)</f>
        <v>74</v>
      </c>
      <c r="C83" s="92" t="s">
        <v>376</v>
      </c>
      <c r="D83" s="93" t="s">
        <v>78</v>
      </c>
      <c r="E83" s="94" t="s">
        <v>161</v>
      </c>
      <c r="F83" s="93" t="s">
        <v>204</v>
      </c>
      <c r="G83" s="94" t="s">
        <v>261</v>
      </c>
      <c r="H83" s="93" t="s">
        <v>298</v>
      </c>
      <c r="I83" s="93" t="s">
        <v>474</v>
      </c>
      <c r="J83" s="93" t="s">
        <v>475</v>
      </c>
      <c r="K83" s="94" t="s">
        <v>361</v>
      </c>
      <c r="L83" s="93">
        <v>1</v>
      </c>
      <c r="M83" s="95">
        <f t="shared" si="64"/>
        <v>20</v>
      </c>
      <c r="N83" s="95">
        <v>21</v>
      </c>
      <c r="O83" s="96" t="s">
        <v>391</v>
      </c>
      <c r="P83" s="95">
        <v>1.3939999999999999</v>
      </c>
      <c r="Q83" s="95">
        <f t="shared" ref="Q83" si="76">P83*N83</f>
        <v>29.273999999999997</v>
      </c>
      <c r="R83" s="97" t="s">
        <v>476</v>
      </c>
    </row>
    <row r="84" spans="1:18" ht="36.75" thickBot="1" x14ac:dyDescent="0.3">
      <c r="A84" s="1"/>
      <c r="B84" s="91">
        <f t="shared" si="0"/>
        <v>75</v>
      </c>
      <c r="C84" s="98" t="s">
        <v>376</v>
      </c>
      <c r="D84" s="99" t="s">
        <v>79</v>
      </c>
      <c r="E84" s="100" t="s">
        <v>162</v>
      </c>
      <c r="F84" s="99" t="s">
        <v>205</v>
      </c>
      <c r="G84" s="100" t="s">
        <v>262</v>
      </c>
      <c r="H84" s="99" t="s">
        <v>297</v>
      </c>
      <c r="I84" s="99" t="s">
        <v>477</v>
      </c>
      <c r="J84" s="99" t="s">
        <v>478</v>
      </c>
      <c r="K84" s="100" t="s">
        <v>361</v>
      </c>
      <c r="L84" s="99">
        <v>1</v>
      </c>
      <c r="M84" s="101">
        <f t="shared" si="64"/>
        <v>20</v>
      </c>
      <c r="N84" s="101">
        <v>21</v>
      </c>
      <c r="O84" s="102" t="s">
        <v>391</v>
      </c>
      <c r="P84" s="101">
        <v>0.69430000000000003</v>
      </c>
      <c r="Q84" s="101">
        <f t="shared" ref="Q84" si="77">N84*P84</f>
        <v>14.580300000000001</v>
      </c>
      <c r="R84" s="97" t="s">
        <v>476</v>
      </c>
    </row>
    <row r="85" spans="1:18" ht="15.75" thickBot="1" x14ac:dyDescent="0.3">
      <c r="A85" s="1"/>
      <c r="B85" s="53">
        <f>ROW(B85) - ROW($B$9)</f>
        <v>76</v>
      </c>
      <c r="C85" s="61" t="s">
        <v>376</v>
      </c>
      <c r="D85" s="37" t="s">
        <v>80</v>
      </c>
      <c r="E85" s="38" t="s">
        <v>163</v>
      </c>
      <c r="F85" s="37" t="s">
        <v>357</v>
      </c>
      <c r="G85" s="38" t="s">
        <v>206</v>
      </c>
      <c r="H85" s="37" t="s">
        <v>297</v>
      </c>
      <c r="I85" s="37" t="s">
        <v>361</v>
      </c>
      <c r="J85" s="37" t="s">
        <v>361</v>
      </c>
      <c r="K85" s="38" t="s">
        <v>361</v>
      </c>
      <c r="L85" s="37">
        <v>1</v>
      </c>
      <c r="M85" s="41">
        <f t="shared" si="64"/>
        <v>20</v>
      </c>
      <c r="N85" s="41">
        <v>21</v>
      </c>
      <c r="O85" s="64" t="s">
        <v>473</v>
      </c>
      <c r="P85" s="41">
        <v>3.637</v>
      </c>
      <c r="Q85" s="41">
        <f t="shared" ref="Q85" si="78">P85*N85</f>
        <v>76.376999999999995</v>
      </c>
      <c r="R85" s="41"/>
    </row>
    <row r="86" spans="1:18" ht="36.75" thickBot="1" x14ac:dyDescent="0.3">
      <c r="A86" s="1"/>
      <c r="B86" s="53">
        <f t="shared" si="0"/>
        <v>77</v>
      </c>
      <c r="C86" s="60" t="s">
        <v>376</v>
      </c>
      <c r="D86" s="39" t="s">
        <v>81</v>
      </c>
      <c r="E86" s="40" t="s">
        <v>164</v>
      </c>
      <c r="F86" s="39" t="s">
        <v>207</v>
      </c>
      <c r="G86" s="40" t="s">
        <v>263</v>
      </c>
      <c r="H86" s="39" t="s">
        <v>297</v>
      </c>
      <c r="I86" s="39" t="s">
        <v>361</v>
      </c>
      <c r="J86" s="39" t="s">
        <v>479</v>
      </c>
      <c r="K86" s="40" t="s">
        <v>361</v>
      </c>
      <c r="L86" s="39">
        <v>1</v>
      </c>
      <c r="M86" s="42">
        <f t="shared" si="64"/>
        <v>20</v>
      </c>
      <c r="N86" s="42">
        <v>21</v>
      </c>
      <c r="O86" s="65" t="s">
        <v>391</v>
      </c>
      <c r="P86" s="42">
        <v>0.43280000000000002</v>
      </c>
      <c r="Q86" s="42">
        <f t="shared" ref="Q86" si="79">N86*P86</f>
        <v>9.0888000000000009</v>
      </c>
      <c r="R86" s="42"/>
    </row>
    <row r="87" spans="1:18" ht="24.75" thickBot="1" x14ac:dyDescent="0.3">
      <c r="A87" s="1"/>
      <c r="B87" s="91">
        <f>ROW(B87) - ROW($B$9)</f>
        <v>78</v>
      </c>
      <c r="C87" s="92" t="s">
        <v>376</v>
      </c>
      <c r="D87" s="93" t="s">
        <v>82</v>
      </c>
      <c r="E87" s="94" t="s">
        <v>165</v>
      </c>
      <c r="F87" s="93" t="s">
        <v>208</v>
      </c>
      <c r="G87" s="94" t="s">
        <v>264</v>
      </c>
      <c r="H87" s="93" t="s">
        <v>299</v>
      </c>
      <c r="I87" s="93" t="s">
        <v>361</v>
      </c>
      <c r="J87" s="93" t="s">
        <v>480</v>
      </c>
      <c r="K87" s="94" t="s">
        <v>361</v>
      </c>
      <c r="L87" s="93">
        <v>1</v>
      </c>
      <c r="M87" s="95">
        <f t="shared" si="64"/>
        <v>20</v>
      </c>
      <c r="N87" s="95">
        <v>21</v>
      </c>
      <c r="O87" s="96" t="s">
        <v>391</v>
      </c>
      <c r="P87" s="95">
        <v>7.4638</v>
      </c>
      <c r="Q87" s="95">
        <f t="shared" ref="Q87" si="80">P87*N87</f>
        <v>156.7398</v>
      </c>
      <c r="R87" s="95" t="s">
        <v>481</v>
      </c>
    </row>
    <row r="88" spans="1:18" ht="15.75" thickBot="1" x14ac:dyDescent="0.3">
      <c r="A88" s="1"/>
      <c r="B88" s="53">
        <f t="shared" si="0"/>
        <v>79</v>
      </c>
      <c r="C88" s="60" t="s">
        <v>376</v>
      </c>
      <c r="D88" s="39" t="s">
        <v>83</v>
      </c>
      <c r="E88" s="40" t="s">
        <v>166</v>
      </c>
      <c r="F88" s="39" t="s">
        <v>209</v>
      </c>
      <c r="G88" s="40" t="s">
        <v>265</v>
      </c>
      <c r="H88" s="39" t="s">
        <v>300</v>
      </c>
      <c r="I88" s="39" t="s">
        <v>361</v>
      </c>
      <c r="J88" s="39" t="s">
        <v>361</v>
      </c>
      <c r="K88" s="58" t="s">
        <v>362</v>
      </c>
      <c r="L88" s="39">
        <v>1</v>
      </c>
      <c r="M88" s="42">
        <f t="shared" si="64"/>
        <v>20</v>
      </c>
      <c r="N88" s="42">
        <v>21</v>
      </c>
      <c r="O88" s="65" t="s">
        <v>473</v>
      </c>
      <c r="P88" s="42">
        <v>2.6459999999999999</v>
      </c>
      <c r="Q88" s="42">
        <f t="shared" ref="Q88" si="81">N88*P88</f>
        <v>55.565999999999995</v>
      </c>
      <c r="R88" s="42"/>
    </row>
    <row r="89" spans="1:18" ht="48.75" thickBot="1" x14ac:dyDescent="0.3">
      <c r="A89" s="1"/>
      <c r="B89" s="91">
        <f>ROW(B89) - ROW($B$9)</f>
        <v>80</v>
      </c>
      <c r="C89" s="92" t="s">
        <v>376</v>
      </c>
      <c r="D89" s="93" t="s">
        <v>84</v>
      </c>
      <c r="E89" s="94" t="s">
        <v>167</v>
      </c>
      <c r="F89" s="93" t="s">
        <v>358</v>
      </c>
      <c r="G89" s="94" t="s">
        <v>210</v>
      </c>
      <c r="H89" s="93" t="s">
        <v>297</v>
      </c>
      <c r="I89" s="93" t="s">
        <v>482</v>
      </c>
      <c r="J89" s="93" t="s">
        <v>483</v>
      </c>
      <c r="K89" s="94" t="s">
        <v>361</v>
      </c>
      <c r="L89" s="103">
        <v>2</v>
      </c>
      <c r="M89" s="95">
        <f t="shared" si="64"/>
        <v>40</v>
      </c>
      <c r="N89" s="95">
        <v>42</v>
      </c>
      <c r="O89" s="96" t="s">
        <v>391</v>
      </c>
      <c r="P89" s="95">
        <v>2.2974000000000001</v>
      </c>
      <c r="Q89" s="95">
        <f t="shared" ref="Q89" si="82">P89*N89</f>
        <v>96.490800000000007</v>
      </c>
      <c r="R89" s="97" t="s">
        <v>484</v>
      </c>
    </row>
    <row r="90" spans="1:18" ht="48.75" thickBot="1" x14ac:dyDescent="0.3">
      <c r="A90" s="1"/>
      <c r="B90" s="91">
        <f t="shared" si="0"/>
        <v>81</v>
      </c>
      <c r="C90" s="98" t="s">
        <v>376</v>
      </c>
      <c r="D90" s="99" t="s">
        <v>85</v>
      </c>
      <c r="E90" s="100" t="s">
        <v>168</v>
      </c>
      <c r="F90" s="99" t="s">
        <v>359</v>
      </c>
      <c r="G90" s="100" t="s">
        <v>211</v>
      </c>
      <c r="H90" s="99" t="s">
        <v>300</v>
      </c>
      <c r="I90" s="99" t="s">
        <v>485</v>
      </c>
      <c r="J90" s="99" t="s">
        <v>361</v>
      </c>
      <c r="K90" s="100" t="s">
        <v>361</v>
      </c>
      <c r="L90" s="99">
        <v>1</v>
      </c>
      <c r="M90" s="101">
        <f t="shared" si="64"/>
        <v>20</v>
      </c>
      <c r="N90" s="101">
        <v>21</v>
      </c>
      <c r="O90" s="102" t="s">
        <v>486</v>
      </c>
      <c r="P90" s="101">
        <v>3.532</v>
      </c>
      <c r="Q90" s="101">
        <f t="shared" ref="Q90" si="83">N90*P90</f>
        <v>74.171999999999997</v>
      </c>
      <c r="R90" s="97" t="s">
        <v>484</v>
      </c>
    </row>
    <row r="91" spans="1:18" ht="15.75" thickBot="1" x14ac:dyDescent="0.3">
      <c r="A91" s="1"/>
      <c r="B91" s="53">
        <f>ROW(B91) - ROW($B$9)</f>
        <v>82</v>
      </c>
      <c r="C91" s="61" t="s">
        <v>376</v>
      </c>
      <c r="D91" s="37" t="s">
        <v>86</v>
      </c>
      <c r="E91" s="38" t="s">
        <v>169</v>
      </c>
      <c r="F91" s="37" t="s">
        <v>360</v>
      </c>
      <c r="G91" s="38" t="s">
        <v>212</v>
      </c>
      <c r="H91" s="37" t="s">
        <v>297</v>
      </c>
      <c r="I91" s="63" t="s">
        <v>361</v>
      </c>
      <c r="J91" s="63" t="s">
        <v>487</v>
      </c>
      <c r="K91" s="38" t="s">
        <v>361</v>
      </c>
      <c r="L91" s="37">
        <v>1</v>
      </c>
      <c r="M91" s="41">
        <f t="shared" si="64"/>
        <v>20</v>
      </c>
      <c r="N91" s="41">
        <v>21</v>
      </c>
      <c r="O91" s="64" t="s">
        <v>391</v>
      </c>
      <c r="P91" s="41">
        <v>0.39140000000000003</v>
      </c>
      <c r="Q91" s="41">
        <f t="shared" ref="Q91" si="84">P91*N91</f>
        <v>8.2194000000000003</v>
      </c>
      <c r="R91" s="41"/>
    </row>
    <row r="92" spans="1:18" x14ac:dyDescent="0.25">
      <c r="A92" s="1"/>
      <c r="B92" s="32"/>
      <c r="C92" s="51"/>
      <c r="D92" s="33" t="s">
        <v>5</v>
      </c>
      <c r="E92" s="34"/>
      <c r="F92" s="35"/>
      <c r="G92" s="36"/>
      <c r="H92" s="35"/>
      <c r="I92" s="35"/>
      <c r="J92" s="35"/>
      <c r="K92" s="36"/>
      <c r="L92" s="36"/>
      <c r="M92" s="36"/>
      <c r="N92" s="36"/>
      <c r="O92" s="106" t="s">
        <v>488</v>
      </c>
      <c r="P92" s="104">
        <f>SUM(P10:P91)</f>
        <v>37.098149999999997</v>
      </c>
      <c r="Q92" s="104">
        <f>SUM(Q10:Q91)</f>
        <v>976.02435000000014</v>
      </c>
      <c r="R92" s="44"/>
    </row>
    <row r="93" spans="1:18" ht="15.75" thickBot="1" x14ac:dyDescent="0.3">
      <c r="A93" s="1"/>
      <c r="B93" s="24"/>
      <c r="C93" s="52"/>
      <c r="D93" s="8" t="s">
        <v>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107" t="s">
        <v>489</v>
      </c>
      <c r="P93" s="105"/>
      <c r="Q93" s="105">
        <f>Q92/20</f>
        <v>48.801217500000007</v>
      </c>
      <c r="R93" s="45"/>
    </row>
  </sheetData>
  <mergeCells count="2">
    <mergeCell ref="K1:R1"/>
    <mergeCell ref="R3:R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4" r:id="rId25"/>
    <hyperlink ref="O35" r:id="rId26"/>
    <hyperlink ref="O36" r:id="rId27"/>
    <hyperlink ref="O37" r:id="rId28"/>
    <hyperlink ref="O38" r:id="rId29"/>
    <hyperlink ref="O39" r:id="rId30"/>
    <hyperlink ref="O40" r:id="rId31"/>
    <hyperlink ref="O41" r:id="rId32"/>
    <hyperlink ref="O42" r:id="rId33"/>
    <hyperlink ref="O43" r:id="rId34"/>
    <hyperlink ref="O44" r:id="rId35"/>
    <hyperlink ref="O45" r:id="rId36"/>
    <hyperlink ref="O46" r:id="rId37"/>
    <hyperlink ref="O47" r:id="rId38"/>
    <hyperlink ref="O48" r:id="rId39"/>
    <hyperlink ref="O49" r:id="rId40"/>
    <hyperlink ref="O50" r:id="rId41"/>
    <hyperlink ref="O52" r:id="rId42"/>
    <hyperlink ref="O53" r:id="rId43"/>
    <hyperlink ref="O54" r:id="rId44"/>
    <hyperlink ref="O55" r:id="rId45"/>
    <hyperlink ref="O56" r:id="rId46"/>
    <hyperlink ref="O57" r:id="rId47"/>
    <hyperlink ref="O58" r:id="rId48"/>
    <hyperlink ref="O59" r:id="rId49"/>
    <hyperlink ref="O60" r:id="rId50"/>
    <hyperlink ref="O61" r:id="rId51"/>
    <hyperlink ref="O62" r:id="rId52"/>
    <hyperlink ref="O63" r:id="rId53"/>
    <hyperlink ref="O64" r:id="rId54"/>
    <hyperlink ref="O65" r:id="rId55"/>
    <hyperlink ref="O66" r:id="rId56"/>
    <hyperlink ref="O67" r:id="rId57"/>
    <hyperlink ref="O68" r:id="rId58"/>
    <hyperlink ref="O69" r:id="rId59"/>
    <hyperlink ref="O70" r:id="rId60"/>
    <hyperlink ref="O71" r:id="rId61"/>
    <hyperlink ref="O72" r:id="rId62"/>
    <hyperlink ref="O73" r:id="rId63"/>
    <hyperlink ref="O74" r:id="rId64"/>
    <hyperlink ref="O75" r:id="rId65"/>
    <hyperlink ref="O76" r:id="rId66"/>
    <hyperlink ref="O77" r:id="rId67"/>
    <hyperlink ref="O78" r:id="rId68"/>
    <hyperlink ref="O81" r:id="rId69"/>
    <hyperlink ref="O82" r:id="rId70"/>
    <hyperlink ref="O83" r:id="rId71"/>
    <hyperlink ref="O84" r:id="rId72"/>
    <hyperlink ref="O85" r:id="rId73"/>
    <hyperlink ref="O86" r:id="rId74"/>
    <hyperlink ref="O87" r:id="rId75"/>
    <hyperlink ref="O88" r:id="rId76"/>
    <hyperlink ref="O89" r:id="rId77"/>
    <hyperlink ref="O90" r:id="rId78"/>
    <hyperlink ref="O91" r:id="rId79"/>
  </hyperlinks>
  <pageMargins left="0.7" right="0.7" top="0.75" bottom="0.75" header="0.3" footer="0.3"/>
  <pageSetup paperSize="9" orientation="portrait" r:id="rId80"/>
  <drawing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SUPARCO</cp:lastModifiedBy>
  <dcterms:created xsi:type="dcterms:W3CDTF">2019-12-12T10:34:26Z</dcterms:created>
  <dcterms:modified xsi:type="dcterms:W3CDTF">2022-08-15T09:29:13Z</dcterms:modified>
</cp:coreProperties>
</file>