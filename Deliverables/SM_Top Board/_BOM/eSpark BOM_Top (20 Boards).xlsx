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Top Board\_BOM\"/>
    </mc:Choice>
  </mc:AlternateContent>
  <bookViews>
    <workbookView xWindow="0" yWindow="0" windowWidth="11490" windowHeight="759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6" i="1" l="1"/>
  <c r="M46" i="1"/>
  <c r="B47" i="1"/>
  <c r="B49" i="1"/>
  <c r="B51" i="1"/>
  <c r="B53" i="1"/>
  <c r="B55" i="1"/>
  <c r="B57" i="1"/>
  <c r="B59" i="1"/>
  <c r="B61" i="1"/>
  <c r="B63" i="1"/>
  <c r="B65" i="1"/>
  <c r="B67" i="1"/>
  <c r="B69" i="1"/>
  <c r="B71" i="1"/>
  <c r="B73" i="1"/>
  <c r="B75" i="1"/>
  <c r="B77" i="1"/>
  <c r="B79" i="1"/>
  <c r="B81" i="1"/>
  <c r="B83" i="1"/>
  <c r="B85" i="1"/>
  <c r="B87" i="1"/>
  <c r="Q14" i="1" l="1"/>
  <c r="Q57" i="1"/>
  <c r="M57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7" i="1"/>
  <c r="Q47" i="1" s="1"/>
  <c r="M48" i="1"/>
  <c r="N48" i="1" s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68" i="1"/>
  <c r="Q68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9" i="1"/>
  <c r="Q69" i="1" s="1"/>
  <c r="M70" i="1"/>
  <c r="Q70" i="1" s="1"/>
  <c r="M71" i="1"/>
  <c r="Q71" i="1" s="1"/>
  <c r="M73" i="1"/>
  <c r="Q73" i="1" s="1"/>
  <c r="M74" i="1"/>
  <c r="Q74" i="1" s="1"/>
  <c r="M75" i="1"/>
  <c r="Q75" i="1" s="1"/>
  <c r="M72" i="1"/>
  <c r="Q72" i="1" s="1"/>
  <c r="M76" i="1"/>
  <c r="N76" i="1" s="1"/>
  <c r="Q76" i="1" s="1"/>
  <c r="M77" i="1"/>
  <c r="N77" i="1" s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8" i="1"/>
  <c r="Q88" i="1" s="1"/>
  <c r="M87" i="1"/>
  <c r="Q87" i="1" s="1"/>
  <c r="M11" i="1"/>
  <c r="M10" i="1"/>
  <c r="Q89" i="1" l="1"/>
  <c r="Q90" i="1" s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<sst xmlns="http://schemas.openxmlformats.org/spreadsheetml/2006/main" count="816" uniqueCount="470">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</sst>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77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hyperlink" Target="https://www.digikey.com/en/products/detail/bivar-inc/VLP-500-R/586476?s=N4IgTCBcDaIGoBkAKBaArABgygSiAugL5A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USB-Connectors_SOFNG-MC-318FB_C29777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0"/>
  <sheetViews>
    <sheetView tabSelected="1" topLeftCell="G31" zoomScaleNormal="100" workbookViewId="0">
      <selection activeCell="R46" sqref="R46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5"/>
      <c r="L1" s="115"/>
      <c r="M1" s="115"/>
      <c r="N1" s="115"/>
      <c r="O1" s="115"/>
      <c r="P1" s="115"/>
      <c r="Q1" s="115"/>
      <c r="R1" s="115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6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7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7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7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7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7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342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343</v>
      </c>
      <c r="P10" s="41">
        <v>0.25869999999999999</v>
      </c>
      <c r="Q10" s="41">
        <f>P10*N10</f>
        <v>5.6913999999999998</v>
      </c>
      <c r="R10" s="41"/>
    </row>
    <row r="11" spans="1:18" ht="60.75" thickBot="1" x14ac:dyDescent="0.3">
      <c r="A11" s="1"/>
      <c r="B11" s="53">
        <f t="shared" ref="B11:B44" si="0">ROW(B11) - ROW($B$9)</f>
        <v>2</v>
      </c>
      <c r="C11" s="81" t="s">
        <v>316</v>
      </c>
      <c r="D11" s="82" t="s">
        <v>464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344</v>
      </c>
      <c r="K11" s="83" t="s">
        <v>262</v>
      </c>
      <c r="L11" s="82">
        <v>15</v>
      </c>
      <c r="M11" s="84">
        <f>L11*20</f>
        <v>300</v>
      </c>
      <c r="N11" s="84">
        <v>300</v>
      </c>
      <c r="O11" s="85" t="s">
        <v>343</v>
      </c>
      <c r="P11" s="84">
        <v>1.4E-3</v>
      </c>
      <c r="Q11" s="84">
        <f>N11*P11</f>
        <v>0.42</v>
      </c>
      <c r="R11" s="84" t="s">
        <v>463</v>
      </c>
    </row>
    <row r="12" spans="1:18" ht="15.75" thickBot="1" x14ac:dyDescent="0.3">
      <c r="A12" s="1"/>
      <c r="B12" s="53">
        <f>ROW(B12) - ROW($B$9)</f>
        <v>3</v>
      </c>
      <c r="C12" s="60" t="s">
        <v>316</v>
      </c>
      <c r="D12" s="37" t="s">
        <v>460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345</v>
      </c>
      <c r="K12" s="38" t="s">
        <v>263</v>
      </c>
      <c r="L12" s="86">
        <v>2</v>
      </c>
      <c r="M12" s="41">
        <f t="shared" ref="M12:M70" si="1">L12*20</f>
        <v>40</v>
      </c>
      <c r="N12" s="41">
        <v>100</v>
      </c>
      <c r="O12" s="63" t="s">
        <v>343</v>
      </c>
      <c r="P12" s="41">
        <v>1.2999999999999999E-3</v>
      </c>
      <c r="Q12" s="41">
        <f t="shared" ref="Q12" si="2">P12*N12</f>
        <v>0.13</v>
      </c>
      <c r="R12" s="76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429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346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343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.75" thickBot="1" x14ac:dyDescent="0.3">
      <c r="A14" s="1"/>
      <c r="B14" s="53">
        <f>ROW(B14) - ROW($B$9)</f>
        <v>5</v>
      </c>
      <c r="C14" s="60" t="s">
        <v>316</v>
      </c>
      <c r="D14" s="37" t="s">
        <v>441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347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343</v>
      </c>
      <c r="P14" s="41">
        <v>4.0899999999999999E-2</v>
      </c>
      <c r="Q14" s="41">
        <f>P14*N14</f>
        <v>8.18</v>
      </c>
      <c r="R14" s="76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459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348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343</v>
      </c>
      <c r="P15" s="42">
        <v>5.8999999999999999E-3</v>
      </c>
      <c r="Q15" s="42">
        <f t="shared" ref="Q15" si="4">N15*P15</f>
        <v>0.59</v>
      </c>
      <c r="R15" s="77"/>
    </row>
    <row r="16" spans="1:18" ht="15.75" thickBot="1" x14ac:dyDescent="0.3">
      <c r="A16" s="1"/>
      <c r="B16" s="53">
        <f>ROW(B16) - ROW($B$9)</f>
        <v>7</v>
      </c>
      <c r="C16" s="60" t="s">
        <v>316</v>
      </c>
      <c r="D16" s="37" t="s">
        <v>458</v>
      </c>
      <c r="E16" s="38" t="s">
        <v>457</v>
      </c>
      <c r="F16" s="37" t="s">
        <v>143</v>
      </c>
      <c r="G16" s="101" t="s">
        <v>432</v>
      </c>
      <c r="H16" s="86" t="s">
        <v>231</v>
      </c>
      <c r="I16" s="37" t="s">
        <v>314</v>
      </c>
      <c r="J16" s="37" t="s">
        <v>433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343</v>
      </c>
      <c r="P16" s="41">
        <v>3.32E-2</v>
      </c>
      <c r="Q16" s="41">
        <f t="shared" ref="Q16" si="5">P16*N16</f>
        <v>4.3159999999999998</v>
      </c>
      <c r="R16" s="76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349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343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2" t="s">
        <v>316</v>
      </c>
      <c r="D18" s="103" t="s">
        <v>356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351</v>
      </c>
      <c r="J18" s="103" t="s">
        <v>350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343</v>
      </c>
      <c r="P18" s="96">
        <v>3.09E-2</v>
      </c>
      <c r="Q18" s="96">
        <f t="shared" ref="Q18" si="7">N18*P18</f>
        <v>5.5620000000000003</v>
      </c>
      <c r="R18" s="96"/>
    </row>
    <row r="19" spans="1:18" ht="24.75" thickBot="1" x14ac:dyDescent="0.3">
      <c r="A19" s="1"/>
      <c r="B19" s="53">
        <f>ROW(B19) - ROW($B$9)</f>
        <v>10</v>
      </c>
      <c r="C19" s="106" t="s">
        <v>316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352</v>
      </c>
      <c r="J19" s="107" t="s">
        <v>353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343</v>
      </c>
      <c r="P19" s="109">
        <v>5.3E-3</v>
      </c>
      <c r="Q19" s="109">
        <f t="shared" ref="Q19" si="8">P19*N19</f>
        <v>0.26500000000000001</v>
      </c>
      <c r="R19" s="109"/>
    </row>
    <row r="20" spans="1:18" ht="48.75" thickBot="1" x14ac:dyDescent="0.3">
      <c r="A20" s="1"/>
      <c r="B20" s="53">
        <f t="shared" si="0"/>
        <v>11</v>
      </c>
      <c r="C20" s="102" t="s">
        <v>316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354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343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.75" thickBot="1" x14ac:dyDescent="0.3">
      <c r="A21" s="1"/>
      <c r="B21" s="53">
        <f>ROW(B21) - ROW($B$9)</f>
        <v>12</v>
      </c>
      <c r="C21" s="106" t="s">
        <v>316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355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343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.75" thickBot="1" x14ac:dyDescent="0.3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357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343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428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358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343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.75" thickBot="1" x14ac:dyDescent="0.3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359</v>
      </c>
      <c r="J24" s="37" t="s">
        <v>360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343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361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343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2" t="s">
        <v>316</v>
      </c>
      <c r="D26" s="103" t="s">
        <v>16</v>
      </c>
      <c r="E26" s="111" t="s">
        <v>430</v>
      </c>
      <c r="F26" s="103" t="s">
        <v>143</v>
      </c>
      <c r="G26" s="111" t="s">
        <v>456</v>
      </c>
      <c r="H26" s="112" t="s">
        <v>249</v>
      </c>
      <c r="I26" s="103" t="s">
        <v>314</v>
      </c>
      <c r="J26" s="103" t="s">
        <v>431</v>
      </c>
      <c r="K26" s="111" t="s">
        <v>443</v>
      </c>
      <c r="L26" s="103">
        <v>1</v>
      </c>
      <c r="M26" s="96">
        <f t="shared" si="1"/>
        <v>20</v>
      </c>
      <c r="N26" s="96">
        <v>100</v>
      </c>
      <c r="O26" s="105" t="s">
        <v>343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24.75" thickBot="1" x14ac:dyDescent="0.3">
      <c r="A27" s="1"/>
      <c r="B27" s="53">
        <f>ROW(B27) - ROW($B$9)</f>
        <v>18</v>
      </c>
      <c r="C27" s="106" t="s">
        <v>316</v>
      </c>
      <c r="D27" s="107" t="s">
        <v>442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362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343</v>
      </c>
      <c r="P27" s="109">
        <v>0.2525</v>
      </c>
      <c r="Q27" s="109">
        <f t="shared" ref="Q27" si="16">P27*N27</f>
        <v>7.5750000000000002</v>
      </c>
      <c r="R27" s="79"/>
    </row>
    <row r="28" spans="1:18" ht="15.75" thickBot="1" x14ac:dyDescent="0.3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363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343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364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343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365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343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>ROW(B31) - ROW($B$9)</f>
        <v>22</v>
      </c>
      <c r="C31" s="106" t="s">
        <v>316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366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343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24.75" thickBot="1" x14ac:dyDescent="0.3">
      <c r="A32" s="1"/>
      <c r="B32" s="53">
        <f t="shared" si="0"/>
        <v>23</v>
      </c>
      <c r="C32" s="102" t="s">
        <v>317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367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343</v>
      </c>
      <c r="P32" s="96">
        <v>4.87E-2</v>
      </c>
      <c r="Q32" s="96">
        <f t="shared" ref="Q32" si="21">N32*P32</f>
        <v>1.4610000000000001</v>
      </c>
      <c r="R32" s="96"/>
    </row>
    <row r="33" spans="1:18" ht="36.75" thickBot="1" x14ac:dyDescent="0.3">
      <c r="A33" s="1"/>
      <c r="B33" s="53">
        <f>ROW(B33) - ROW($B$9)</f>
        <v>24</v>
      </c>
      <c r="C33" s="106" t="s">
        <v>317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368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343</v>
      </c>
      <c r="P33" s="109">
        <v>7.4300000000000005E-2</v>
      </c>
      <c r="Q33" s="109">
        <f t="shared" ref="Q33" si="22">P33*N33</f>
        <v>2.2290000000000001</v>
      </c>
      <c r="R33" s="109"/>
    </row>
    <row r="34" spans="1:18" ht="24.75" thickBot="1" x14ac:dyDescent="0.3">
      <c r="A34" s="1"/>
      <c r="B34" s="53">
        <f t="shared" si="0"/>
        <v>25</v>
      </c>
      <c r="C34" s="102" t="s">
        <v>317</v>
      </c>
      <c r="D34" s="103" t="s">
        <v>461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369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343</v>
      </c>
      <c r="P34" s="96">
        <v>2.8899999999999999E-2</v>
      </c>
      <c r="Q34" s="96">
        <f t="shared" ref="Q34" si="23">N34*P34</f>
        <v>1.734</v>
      </c>
      <c r="R34" s="78"/>
    </row>
    <row r="35" spans="1:18" ht="36.75" thickBot="1" x14ac:dyDescent="0.3">
      <c r="A35" s="1"/>
      <c r="B35" s="53">
        <f>ROW(B35) - ROW($B$9)</f>
        <v>26</v>
      </c>
      <c r="C35" s="89" t="s">
        <v>317</v>
      </c>
      <c r="D35" s="90" t="s">
        <v>444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370</v>
      </c>
      <c r="J35" s="90" t="s">
        <v>371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343</v>
      </c>
      <c r="P35" s="93">
        <v>0.12590000000000001</v>
      </c>
      <c r="Q35" s="93">
        <f t="shared" ref="Q35" si="24">P35*N35</f>
        <v>21.403000000000002</v>
      </c>
      <c r="R35" s="84" t="s">
        <v>445</v>
      </c>
    </row>
    <row r="36" spans="1:18" ht="15.75" thickBot="1" x14ac:dyDescent="0.3">
      <c r="A36" s="1"/>
      <c r="B36" s="53">
        <f t="shared" si="0"/>
        <v>27</v>
      </c>
      <c r="C36" s="102" t="s">
        <v>319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372</v>
      </c>
      <c r="J36" s="103" t="s">
        <v>373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343</v>
      </c>
      <c r="P36" s="96">
        <v>5.6000000000000001E-2</v>
      </c>
      <c r="Q36" s="96">
        <f t="shared" ref="Q36" si="25">N36*P36</f>
        <v>1.68</v>
      </c>
      <c r="R36" s="96"/>
    </row>
    <row r="37" spans="1:18" ht="36.75" thickBot="1" x14ac:dyDescent="0.3">
      <c r="A37" s="1"/>
      <c r="B37" s="53">
        <f>ROW(B37) - ROW($B$9)</f>
        <v>28</v>
      </c>
      <c r="C37" s="106" t="s">
        <v>318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374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343</v>
      </c>
      <c r="P37" s="109">
        <v>2.9499999999999998E-2</v>
      </c>
      <c r="Q37" s="109">
        <f t="shared" ref="Q37" si="26">P37*N37</f>
        <v>2.9499999999999997</v>
      </c>
      <c r="R37" s="109"/>
    </row>
    <row r="38" spans="1:18" ht="24.75" thickBot="1" x14ac:dyDescent="0.3">
      <c r="A38" s="1"/>
      <c r="B38" s="53">
        <f t="shared" si="0"/>
        <v>29</v>
      </c>
      <c r="C38" s="102" t="s">
        <v>320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375</v>
      </c>
      <c r="J38" s="103" t="s">
        <v>376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343</v>
      </c>
      <c r="P38" s="96">
        <v>0.53559999999999997</v>
      </c>
      <c r="Q38" s="96">
        <f t="shared" ref="Q38" si="27">N38*P38</f>
        <v>11.247599999999998</v>
      </c>
      <c r="R38" s="78"/>
    </row>
    <row r="39" spans="1:18" ht="36.75" thickBot="1" x14ac:dyDescent="0.3">
      <c r="A39" s="1"/>
      <c r="B39" s="53">
        <f>ROW(B39) - ROW($B$9)</f>
        <v>30</v>
      </c>
      <c r="C39" s="106" t="s">
        <v>320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377</v>
      </c>
      <c r="J39" s="107" t="s">
        <v>378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343</v>
      </c>
      <c r="P39" s="109">
        <v>0.65639999999999998</v>
      </c>
      <c r="Q39" s="109">
        <f t="shared" ref="Q39" si="28">P39*N39</f>
        <v>27.5688</v>
      </c>
      <c r="R39" s="79"/>
    </row>
    <row r="40" spans="1:18" ht="15.75" thickBot="1" x14ac:dyDescent="0.3">
      <c r="A40" s="1"/>
      <c r="B40" s="53">
        <f t="shared" si="0"/>
        <v>31</v>
      </c>
      <c r="C40" s="102" t="s">
        <v>321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379</v>
      </c>
      <c r="P40" s="96">
        <v>1.2</v>
      </c>
      <c r="Q40" s="96">
        <f t="shared" ref="Q40" si="29">N40*P40</f>
        <v>25.2</v>
      </c>
      <c r="R40" s="96"/>
    </row>
    <row r="41" spans="1:18" ht="15.75" thickBot="1" x14ac:dyDescent="0.3">
      <c r="A41" s="1"/>
      <c r="B41" s="53">
        <f>ROW(B41) - ROW($B$9)</f>
        <v>32</v>
      </c>
      <c r="C41" s="106" t="s">
        <v>321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380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343</v>
      </c>
      <c r="P41" s="109">
        <v>9.2200000000000004E-2</v>
      </c>
      <c r="Q41" s="109">
        <f t="shared" ref="Q41" si="30">P41*N41</f>
        <v>2.3050000000000002</v>
      </c>
      <c r="R41" s="109"/>
    </row>
    <row r="42" spans="1:18" ht="36.75" thickBot="1" x14ac:dyDescent="0.3">
      <c r="A42" s="1"/>
      <c r="B42" s="53">
        <f t="shared" si="0"/>
        <v>33</v>
      </c>
      <c r="C42" s="102" t="s">
        <v>318</v>
      </c>
      <c r="D42" s="103" t="s">
        <v>29</v>
      </c>
      <c r="E42" s="104" t="s">
        <v>98</v>
      </c>
      <c r="F42" s="103" t="s">
        <v>308</v>
      </c>
      <c r="G42" s="104" t="s">
        <v>159</v>
      </c>
      <c r="H42" s="103" t="s">
        <v>233</v>
      </c>
      <c r="I42" s="103" t="s">
        <v>314</v>
      </c>
      <c r="J42" s="103" t="s">
        <v>381</v>
      </c>
      <c r="K42" s="104" t="s">
        <v>282</v>
      </c>
      <c r="L42" s="103">
        <v>1</v>
      </c>
      <c r="M42" s="96">
        <f t="shared" si="1"/>
        <v>20</v>
      </c>
      <c r="N42" s="96">
        <v>21</v>
      </c>
      <c r="O42" s="105" t="s">
        <v>343</v>
      </c>
      <c r="P42" s="96">
        <v>0.45629999999999998</v>
      </c>
      <c r="Q42" s="96">
        <f t="shared" ref="Q42" si="31">N42*P42</f>
        <v>9.5823</v>
      </c>
      <c r="R42" s="96"/>
    </row>
    <row r="43" spans="1:18" ht="24.75" thickBot="1" x14ac:dyDescent="0.3">
      <c r="A43" s="1"/>
      <c r="B43" s="53">
        <f>ROW(B43) - ROW($B$9)</f>
        <v>34</v>
      </c>
      <c r="C43" s="106" t="s">
        <v>318</v>
      </c>
      <c r="D43" s="107" t="s">
        <v>30</v>
      </c>
      <c r="E43" s="108" t="s">
        <v>448</v>
      </c>
      <c r="F43" s="107" t="s">
        <v>308</v>
      </c>
      <c r="G43" s="108" t="s">
        <v>447</v>
      </c>
      <c r="H43" s="107" t="s">
        <v>436</v>
      </c>
      <c r="I43" s="107" t="s">
        <v>314</v>
      </c>
      <c r="J43" s="107" t="s">
        <v>437</v>
      </c>
      <c r="K43" s="108" t="s">
        <v>446</v>
      </c>
      <c r="L43" s="107">
        <v>1</v>
      </c>
      <c r="M43" s="109">
        <f t="shared" si="1"/>
        <v>20</v>
      </c>
      <c r="N43" s="109">
        <v>25</v>
      </c>
      <c r="O43" s="110" t="s">
        <v>343</v>
      </c>
      <c r="P43" s="109">
        <v>0.1012</v>
      </c>
      <c r="Q43" s="109">
        <f t="shared" ref="Q43" si="32">P43*N43</f>
        <v>2.5299999999999998</v>
      </c>
      <c r="R43" s="77"/>
    </row>
    <row r="44" spans="1:18" ht="24.75" thickBot="1" x14ac:dyDescent="0.3">
      <c r="A44" s="1"/>
      <c r="B44" s="53">
        <f t="shared" si="0"/>
        <v>35</v>
      </c>
      <c r="C44" s="102" t="s">
        <v>322</v>
      </c>
      <c r="D44" s="103" t="s">
        <v>31</v>
      </c>
      <c r="E44" s="104" t="s">
        <v>99</v>
      </c>
      <c r="F44" s="103" t="s">
        <v>308</v>
      </c>
      <c r="G44" s="104" t="s">
        <v>160</v>
      </c>
      <c r="H44" s="103" t="s">
        <v>245</v>
      </c>
      <c r="I44" s="103" t="s">
        <v>314</v>
      </c>
      <c r="J44" s="103" t="s">
        <v>314</v>
      </c>
      <c r="K44" s="104" t="s">
        <v>314</v>
      </c>
      <c r="L44" s="103">
        <v>1</v>
      </c>
      <c r="M44" s="96">
        <f t="shared" si="1"/>
        <v>20</v>
      </c>
      <c r="N44" s="96">
        <v>30</v>
      </c>
      <c r="O44" s="105" t="s">
        <v>382</v>
      </c>
      <c r="P44" s="96">
        <v>0.156</v>
      </c>
      <c r="Q44" s="96">
        <f t="shared" ref="Q44" si="33">N44*P44</f>
        <v>4.68</v>
      </c>
      <c r="R44" s="96"/>
    </row>
    <row r="45" spans="1:18" ht="15.75" thickBot="1" x14ac:dyDescent="0.3">
      <c r="A45" s="1"/>
      <c r="B45" s="53">
        <f>ROW(B45) - ROW($B$9)</f>
        <v>36</v>
      </c>
      <c r="C45" s="106" t="s">
        <v>322</v>
      </c>
      <c r="D45" s="107" t="s">
        <v>32</v>
      </c>
      <c r="E45" s="108" t="s">
        <v>100</v>
      </c>
      <c r="F45" s="107" t="s">
        <v>161</v>
      </c>
      <c r="G45" s="108" t="s">
        <v>199</v>
      </c>
      <c r="H45" s="107" t="s">
        <v>246</v>
      </c>
      <c r="I45" s="107" t="s">
        <v>314</v>
      </c>
      <c r="J45" s="107" t="s">
        <v>314</v>
      </c>
      <c r="K45" s="108" t="s">
        <v>314</v>
      </c>
      <c r="L45" s="107">
        <v>1</v>
      </c>
      <c r="M45" s="109">
        <f t="shared" si="1"/>
        <v>20</v>
      </c>
      <c r="N45" s="109">
        <v>30</v>
      </c>
      <c r="O45" s="110" t="s">
        <v>383</v>
      </c>
      <c r="P45" s="109">
        <v>0.08</v>
      </c>
      <c r="Q45" s="109">
        <f t="shared" ref="Q45:Q46" si="34">P45*N45</f>
        <v>2.4</v>
      </c>
      <c r="R45" s="109"/>
    </row>
    <row r="46" spans="1:18" ht="15.75" thickBot="1" x14ac:dyDescent="0.3">
      <c r="A46" s="1"/>
      <c r="B46" s="53">
        <v>37</v>
      </c>
      <c r="C46" s="106" t="s">
        <v>465</v>
      </c>
      <c r="D46" s="107" t="s">
        <v>314</v>
      </c>
      <c r="E46" s="108" t="s">
        <v>467</v>
      </c>
      <c r="F46" s="107" t="s">
        <v>308</v>
      </c>
      <c r="G46" s="108" t="s">
        <v>468</v>
      </c>
      <c r="H46" s="107" t="s">
        <v>469</v>
      </c>
      <c r="I46" s="107" t="s">
        <v>314</v>
      </c>
      <c r="J46" s="107" t="s">
        <v>314</v>
      </c>
      <c r="K46" s="108" t="s">
        <v>314</v>
      </c>
      <c r="L46" s="107">
        <v>1</v>
      </c>
      <c r="M46" s="109">
        <f t="shared" si="1"/>
        <v>20</v>
      </c>
      <c r="N46" s="109">
        <v>20</v>
      </c>
      <c r="O46" s="110" t="s">
        <v>419</v>
      </c>
      <c r="P46" s="109">
        <v>0.435</v>
      </c>
      <c r="Q46" s="109">
        <f t="shared" si="34"/>
        <v>8.6999999999999993</v>
      </c>
      <c r="R46" s="79" t="s">
        <v>466</v>
      </c>
    </row>
    <row r="47" spans="1:18" ht="24.75" thickBot="1" x14ac:dyDescent="0.3">
      <c r="A47" s="1"/>
      <c r="B47" s="53">
        <f t="shared" ref="B47" si="35">ROW(B47) - ROW($B$9)</f>
        <v>38</v>
      </c>
      <c r="C47" s="102" t="s">
        <v>320</v>
      </c>
      <c r="D47" s="103" t="s">
        <v>33</v>
      </c>
      <c r="E47" s="104" t="s">
        <v>101</v>
      </c>
      <c r="F47" s="103" t="s">
        <v>308</v>
      </c>
      <c r="G47" s="104" t="s">
        <v>162</v>
      </c>
      <c r="H47" s="103" t="s">
        <v>247</v>
      </c>
      <c r="I47" s="103" t="s">
        <v>314</v>
      </c>
      <c r="J47" s="103" t="s">
        <v>314</v>
      </c>
      <c r="K47" s="104" t="s">
        <v>314</v>
      </c>
      <c r="L47" s="103">
        <v>2</v>
      </c>
      <c r="M47" s="96">
        <f t="shared" si="1"/>
        <v>40</v>
      </c>
      <c r="N47" s="96">
        <v>50</v>
      </c>
      <c r="O47" s="105" t="s">
        <v>379</v>
      </c>
      <c r="P47" s="96">
        <v>1.5</v>
      </c>
      <c r="Q47" s="96">
        <f t="shared" ref="Q47" si="36">N47*P47</f>
        <v>75</v>
      </c>
      <c r="R47" s="96"/>
    </row>
    <row r="48" spans="1:18" ht="15.75" thickBot="1" x14ac:dyDescent="0.3">
      <c r="A48" s="1"/>
      <c r="B48" s="53">
        <v>38</v>
      </c>
      <c r="C48" s="97" t="s">
        <v>283</v>
      </c>
      <c r="D48" s="98" t="s">
        <v>34</v>
      </c>
      <c r="E48" s="99" t="s">
        <v>102</v>
      </c>
      <c r="F48" s="98" t="s">
        <v>163</v>
      </c>
      <c r="G48" s="99" t="s">
        <v>314</v>
      </c>
      <c r="H48" s="98" t="s">
        <v>314</v>
      </c>
      <c r="I48" s="98"/>
      <c r="J48" s="98"/>
      <c r="K48" s="99" t="s">
        <v>314</v>
      </c>
      <c r="L48" s="98">
        <v>4</v>
      </c>
      <c r="M48" s="66">
        <f t="shared" si="1"/>
        <v>80</v>
      </c>
      <c r="N48" s="66">
        <f t="shared" ref="N48" si="37">M48+(M48*0.1)</f>
        <v>88</v>
      </c>
      <c r="O48" s="66"/>
      <c r="P48" s="66"/>
      <c r="Q48" s="66">
        <f t="shared" ref="Q48" si="38">P48*N48</f>
        <v>0</v>
      </c>
      <c r="R48" s="66" t="s">
        <v>384</v>
      </c>
    </row>
    <row r="49" spans="1:18" ht="15.75" thickBot="1" x14ac:dyDescent="0.3">
      <c r="A49" s="1"/>
      <c r="B49" s="53">
        <f t="shared" ref="B49" si="39">ROW(B49) - ROW($B$9)</f>
        <v>40</v>
      </c>
      <c r="C49" s="102" t="s">
        <v>321</v>
      </c>
      <c r="D49" s="103" t="s">
        <v>35</v>
      </c>
      <c r="E49" s="104" t="s">
        <v>103</v>
      </c>
      <c r="F49" s="103" t="s">
        <v>164</v>
      </c>
      <c r="G49" s="104">
        <v>61300211121</v>
      </c>
      <c r="H49" s="103" t="s">
        <v>235</v>
      </c>
      <c r="I49" s="103" t="s">
        <v>314</v>
      </c>
      <c r="J49" s="103" t="s">
        <v>314</v>
      </c>
      <c r="K49" s="104" t="s">
        <v>314</v>
      </c>
      <c r="L49" s="103">
        <v>4</v>
      </c>
      <c r="M49" s="96">
        <f t="shared" si="1"/>
        <v>80</v>
      </c>
      <c r="N49" s="96">
        <v>90</v>
      </c>
      <c r="O49" s="105" t="s">
        <v>379</v>
      </c>
      <c r="P49" s="96">
        <v>0.13</v>
      </c>
      <c r="Q49" s="96">
        <f t="shared" ref="Q49" si="40">N49*P49</f>
        <v>11.700000000000001</v>
      </c>
      <c r="R49" s="96"/>
    </row>
    <row r="50" spans="1:18" ht="15.75" thickBot="1" x14ac:dyDescent="0.3">
      <c r="A50" s="1"/>
      <c r="B50" s="53">
        <v>39</v>
      </c>
      <c r="C50" s="106" t="s">
        <v>323</v>
      </c>
      <c r="D50" s="107" t="s">
        <v>439</v>
      </c>
      <c r="E50" s="108" t="s">
        <v>104</v>
      </c>
      <c r="F50" s="107" t="s">
        <v>165</v>
      </c>
      <c r="G50" s="108" t="s">
        <v>200</v>
      </c>
      <c r="H50" s="107" t="s">
        <v>248</v>
      </c>
      <c r="I50" s="107" t="s">
        <v>385</v>
      </c>
      <c r="J50" s="107" t="s">
        <v>386</v>
      </c>
      <c r="K50" s="108" t="s">
        <v>314</v>
      </c>
      <c r="L50" s="107">
        <v>4</v>
      </c>
      <c r="M50" s="109">
        <f t="shared" si="1"/>
        <v>80</v>
      </c>
      <c r="N50" s="109">
        <v>85</v>
      </c>
      <c r="O50" s="110" t="s">
        <v>343</v>
      </c>
      <c r="P50" s="109">
        <v>0.21740000000000001</v>
      </c>
      <c r="Q50" s="109">
        <f t="shared" ref="Q50" si="41">P50*N50</f>
        <v>18.478999999999999</v>
      </c>
      <c r="R50" s="109"/>
    </row>
    <row r="51" spans="1:18" ht="15.75" thickBot="1" x14ac:dyDescent="0.3">
      <c r="A51" s="1"/>
      <c r="B51" s="53">
        <f t="shared" ref="B51" si="42">ROW(B51) - ROW($B$9)</f>
        <v>42</v>
      </c>
      <c r="C51" s="102" t="s">
        <v>324</v>
      </c>
      <c r="D51" s="103" t="s">
        <v>36</v>
      </c>
      <c r="E51" s="104" t="s">
        <v>105</v>
      </c>
      <c r="F51" s="103" t="s">
        <v>166</v>
      </c>
      <c r="G51" s="104" t="s">
        <v>201</v>
      </c>
      <c r="H51" s="103" t="s">
        <v>229</v>
      </c>
      <c r="I51" s="103" t="s">
        <v>314</v>
      </c>
      <c r="J51" s="103" t="s">
        <v>387</v>
      </c>
      <c r="K51" s="104" t="s">
        <v>284</v>
      </c>
      <c r="L51" s="103">
        <v>2</v>
      </c>
      <c r="M51" s="96">
        <f t="shared" si="1"/>
        <v>40</v>
      </c>
      <c r="N51" s="96">
        <v>100</v>
      </c>
      <c r="O51" s="105" t="s">
        <v>343</v>
      </c>
      <c r="P51" s="96">
        <v>1E-3</v>
      </c>
      <c r="Q51" s="96">
        <f t="shared" ref="Q51" si="43">N51*P51</f>
        <v>0.1</v>
      </c>
      <c r="R51" s="96"/>
    </row>
    <row r="52" spans="1:18" ht="24.75" thickBot="1" x14ac:dyDescent="0.3">
      <c r="A52" s="1"/>
      <c r="B52" s="53">
        <v>40</v>
      </c>
      <c r="C52" s="106" t="s">
        <v>324</v>
      </c>
      <c r="D52" s="107" t="s">
        <v>37</v>
      </c>
      <c r="E52" s="108" t="s">
        <v>106</v>
      </c>
      <c r="F52" s="107" t="s">
        <v>166</v>
      </c>
      <c r="G52" s="108" t="s">
        <v>202</v>
      </c>
      <c r="H52" s="107" t="s">
        <v>229</v>
      </c>
      <c r="I52" s="107" t="s">
        <v>314</v>
      </c>
      <c r="J52" s="107" t="s">
        <v>388</v>
      </c>
      <c r="K52" s="108" t="s">
        <v>285</v>
      </c>
      <c r="L52" s="107">
        <v>1</v>
      </c>
      <c r="M52" s="109">
        <f t="shared" si="1"/>
        <v>20</v>
      </c>
      <c r="N52" s="109">
        <v>100</v>
      </c>
      <c r="O52" s="110" t="s">
        <v>343</v>
      </c>
      <c r="P52" s="109">
        <v>1.4E-3</v>
      </c>
      <c r="Q52" s="109">
        <f t="shared" ref="Q52" si="44">P52*N52</f>
        <v>0.13999999999999999</v>
      </c>
      <c r="R52" s="109"/>
    </row>
    <row r="53" spans="1:18" ht="36.75" thickBot="1" x14ac:dyDescent="0.3">
      <c r="A53" s="1"/>
      <c r="B53" s="53">
        <f t="shared" ref="B53" si="45">ROW(B53) - ROW($B$9)</f>
        <v>44</v>
      </c>
      <c r="C53" s="102" t="s">
        <v>324</v>
      </c>
      <c r="D53" s="103" t="s">
        <v>38</v>
      </c>
      <c r="E53" s="104" t="s">
        <v>107</v>
      </c>
      <c r="F53" s="103" t="s">
        <v>166</v>
      </c>
      <c r="G53" s="104" t="s">
        <v>203</v>
      </c>
      <c r="H53" s="103" t="s">
        <v>249</v>
      </c>
      <c r="I53" s="103" t="s">
        <v>314</v>
      </c>
      <c r="J53" s="103" t="s">
        <v>389</v>
      </c>
      <c r="K53" s="104" t="s">
        <v>286</v>
      </c>
      <c r="L53" s="103">
        <v>1</v>
      </c>
      <c r="M53" s="96">
        <f t="shared" si="1"/>
        <v>20</v>
      </c>
      <c r="N53" s="96">
        <v>100</v>
      </c>
      <c r="O53" s="105" t="s">
        <v>343</v>
      </c>
      <c r="P53" s="96">
        <v>1.6000000000000001E-3</v>
      </c>
      <c r="Q53" s="96">
        <f t="shared" ref="Q53" si="46">N53*P53</f>
        <v>0.16</v>
      </c>
      <c r="R53" s="96"/>
    </row>
    <row r="54" spans="1:18" ht="15.75" thickBot="1" x14ac:dyDescent="0.3">
      <c r="A54" s="1"/>
      <c r="B54" s="53">
        <v>41</v>
      </c>
      <c r="C54" s="106" t="s">
        <v>324</v>
      </c>
      <c r="D54" s="107" t="s">
        <v>39</v>
      </c>
      <c r="E54" s="108" t="s">
        <v>108</v>
      </c>
      <c r="F54" s="107" t="s">
        <v>166</v>
      </c>
      <c r="G54" s="108" t="s">
        <v>204</v>
      </c>
      <c r="H54" s="107" t="s">
        <v>229</v>
      </c>
      <c r="I54" s="107" t="s">
        <v>314</v>
      </c>
      <c r="J54" s="107" t="s">
        <v>390</v>
      </c>
      <c r="K54" s="108" t="s">
        <v>287</v>
      </c>
      <c r="L54" s="107">
        <v>2</v>
      </c>
      <c r="M54" s="109">
        <f t="shared" si="1"/>
        <v>40</v>
      </c>
      <c r="N54" s="109">
        <v>100</v>
      </c>
      <c r="O54" s="110" t="s">
        <v>343</v>
      </c>
      <c r="P54" s="109">
        <v>1.4E-3</v>
      </c>
      <c r="Q54" s="109">
        <f t="shared" ref="Q54" si="47">P54*N54</f>
        <v>0.13999999999999999</v>
      </c>
      <c r="R54" s="109"/>
    </row>
    <row r="55" spans="1:18" ht="15.75" thickBot="1" x14ac:dyDescent="0.3">
      <c r="A55" s="1"/>
      <c r="B55" s="53">
        <f t="shared" ref="B55" si="48">ROW(B55) - ROW($B$9)</f>
        <v>46</v>
      </c>
      <c r="C55" s="102" t="s">
        <v>324</v>
      </c>
      <c r="D55" s="103" t="s">
        <v>40</v>
      </c>
      <c r="E55" s="104" t="s">
        <v>109</v>
      </c>
      <c r="F55" s="103" t="s">
        <v>166</v>
      </c>
      <c r="G55" s="104" t="s">
        <v>205</v>
      </c>
      <c r="H55" s="103" t="s">
        <v>229</v>
      </c>
      <c r="I55" s="103" t="s">
        <v>314</v>
      </c>
      <c r="J55" s="103" t="s">
        <v>391</v>
      </c>
      <c r="K55" s="104" t="s">
        <v>288</v>
      </c>
      <c r="L55" s="103">
        <v>4</v>
      </c>
      <c r="M55" s="96">
        <f t="shared" si="1"/>
        <v>80</v>
      </c>
      <c r="N55" s="96">
        <v>100</v>
      </c>
      <c r="O55" s="105" t="s">
        <v>343</v>
      </c>
      <c r="P55" s="96">
        <v>1.2999999999999999E-3</v>
      </c>
      <c r="Q55" s="96">
        <f t="shared" ref="Q55" si="49">N55*P55</f>
        <v>0.13</v>
      </c>
      <c r="R55" s="96"/>
    </row>
    <row r="56" spans="1:18" ht="36.75" thickBot="1" x14ac:dyDescent="0.3">
      <c r="A56" s="1"/>
      <c r="B56" s="53">
        <v>42</v>
      </c>
      <c r="C56" s="106" t="s">
        <v>324</v>
      </c>
      <c r="D56" s="107" t="s">
        <v>41</v>
      </c>
      <c r="E56" s="108" t="s">
        <v>110</v>
      </c>
      <c r="F56" s="107" t="s">
        <v>167</v>
      </c>
      <c r="G56" s="108" t="s">
        <v>329</v>
      </c>
      <c r="H56" s="107" t="s">
        <v>250</v>
      </c>
      <c r="I56" s="107" t="s">
        <v>392</v>
      </c>
      <c r="J56" s="107" t="s">
        <v>393</v>
      </c>
      <c r="K56" s="108" t="s">
        <v>289</v>
      </c>
      <c r="L56" s="107">
        <v>4</v>
      </c>
      <c r="M56" s="109">
        <f t="shared" si="1"/>
        <v>80</v>
      </c>
      <c r="N56" s="109">
        <v>90</v>
      </c>
      <c r="O56" s="110" t="s">
        <v>343</v>
      </c>
      <c r="P56" s="109">
        <v>6.4500000000000002E-2</v>
      </c>
      <c r="Q56" s="109">
        <f t="shared" ref="Q56" si="50">P56*N56</f>
        <v>5.8049999999999997</v>
      </c>
      <c r="R56" s="109"/>
    </row>
    <row r="57" spans="1:18" ht="15.75" thickBot="1" x14ac:dyDescent="0.3">
      <c r="A57" s="1"/>
      <c r="B57" s="53">
        <f t="shared" ref="B57" si="51">ROW(B57) - ROW($B$9)</f>
        <v>48</v>
      </c>
      <c r="C57" s="60" t="s">
        <v>324</v>
      </c>
      <c r="D57" s="37" t="s">
        <v>423</v>
      </c>
      <c r="E57" s="37" t="s">
        <v>440</v>
      </c>
      <c r="F57" s="37" t="s">
        <v>166</v>
      </c>
      <c r="G57" s="37" t="s">
        <v>425</v>
      </c>
      <c r="H57" s="37" t="s">
        <v>252</v>
      </c>
      <c r="I57" s="37" t="s">
        <v>314</v>
      </c>
      <c r="J57" s="37" t="s">
        <v>426</v>
      </c>
      <c r="K57" s="37" t="s">
        <v>427</v>
      </c>
      <c r="L57" s="37">
        <v>8</v>
      </c>
      <c r="M57" s="37">
        <f t="shared" si="1"/>
        <v>160</v>
      </c>
      <c r="N57" s="96">
        <v>100</v>
      </c>
      <c r="O57" s="80" t="s">
        <v>343</v>
      </c>
      <c r="P57" s="37">
        <v>1.1000000000000001E-3</v>
      </c>
      <c r="Q57" s="37">
        <f t="shared" ref="Q57" si="52">N57*P57</f>
        <v>0.11</v>
      </c>
      <c r="R57" s="76"/>
    </row>
    <row r="58" spans="1:18" ht="15.75" thickBot="1" x14ac:dyDescent="0.3">
      <c r="A58" s="1"/>
      <c r="B58" s="53">
        <v>43</v>
      </c>
      <c r="C58" s="106" t="s">
        <v>324</v>
      </c>
      <c r="D58" s="107" t="s">
        <v>42</v>
      </c>
      <c r="E58" s="108" t="s">
        <v>112</v>
      </c>
      <c r="F58" s="107" t="s">
        <v>166</v>
      </c>
      <c r="G58" s="108" t="s">
        <v>207</v>
      </c>
      <c r="H58" s="107" t="s">
        <v>251</v>
      </c>
      <c r="I58" s="107" t="s">
        <v>314</v>
      </c>
      <c r="J58" s="107" t="s">
        <v>314</v>
      </c>
      <c r="K58" s="108" t="s">
        <v>291</v>
      </c>
      <c r="L58" s="107">
        <v>1</v>
      </c>
      <c r="M58" s="109">
        <f t="shared" si="1"/>
        <v>20</v>
      </c>
      <c r="N58" s="109">
        <v>30</v>
      </c>
      <c r="O58" s="110" t="s">
        <v>382</v>
      </c>
      <c r="P58" s="109">
        <v>1.8589999999999999E-2</v>
      </c>
      <c r="Q58" s="109">
        <f t="shared" ref="Q58" si="53">P58*N58</f>
        <v>0.55769999999999997</v>
      </c>
      <c r="R58" s="109"/>
    </row>
    <row r="59" spans="1:18" ht="15.75" thickBot="1" x14ac:dyDescent="0.3">
      <c r="A59" s="1"/>
      <c r="B59" s="53">
        <f t="shared" ref="B59" si="54">ROW(B59) - ROW($B$9)</f>
        <v>50</v>
      </c>
      <c r="C59" s="102" t="s">
        <v>324</v>
      </c>
      <c r="D59" s="103" t="s">
        <v>43</v>
      </c>
      <c r="E59" s="104" t="s">
        <v>113</v>
      </c>
      <c r="F59" s="103" t="s">
        <v>166</v>
      </c>
      <c r="G59" s="104" t="s">
        <v>208</v>
      </c>
      <c r="H59" s="103" t="s">
        <v>229</v>
      </c>
      <c r="I59" s="103" t="s">
        <v>314</v>
      </c>
      <c r="J59" s="103" t="s">
        <v>395</v>
      </c>
      <c r="K59" s="104" t="s">
        <v>292</v>
      </c>
      <c r="L59" s="103">
        <v>1</v>
      </c>
      <c r="M59" s="96">
        <f t="shared" si="1"/>
        <v>20</v>
      </c>
      <c r="N59" s="96">
        <v>100</v>
      </c>
      <c r="O59" s="105" t="s">
        <v>343</v>
      </c>
      <c r="P59" s="96">
        <v>1.4E-3</v>
      </c>
      <c r="Q59" s="96">
        <f t="shared" ref="Q59" si="55">N59*P59</f>
        <v>0.13999999999999999</v>
      </c>
      <c r="R59" s="96"/>
    </row>
    <row r="60" spans="1:18" ht="15.75" thickBot="1" x14ac:dyDescent="0.3">
      <c r="A60" s="1"/>
      <c r="B60" s="53">
        <v>44</v>
      </c>
      <c r="C60" s="106" t="s">
        <v>324</v>
      </c>
      <c r="D60" s="107" t="s">
        <v>44</v>
      </c>
      <c r="E60" s="108" t="s">
        <v>114</v>
      </c>
      <c r="F60" s="107" t="s">
        <v>166</v>
      </c>
      <c r="G60" s="108" t="s">
        <v>209</v>
      </c>
      <c r="H60" s="107" t="s">
        <v>251</v>
      </c>
      <c r="I60" s="107" t="s">
        <v>314</v>
      </c>
      <c r="J60" s="107" t="s">
        <v>314</v>
      </c>
      <c r="K60" s="108" t="s">
        <v>293</v>
      </c>
      <c r="L60" s="107">
        <v>1</v>
      </c>
      <c r="M60" s="109">
        <f t="shared" si="1"/>
        <v>20</v>
      </c>
      <c r="N60" s="109">
        <v>50</v>
      </c>
      <c r="O60" s="110" t="s">
        <v>382</v>
      </c>
      <c r="P60" s="109">
        <v>4.6699999999999997E-3</v>
      </c>
      <c r="Q60" s="109">
        <f t="shared" ref="Q60" si="56">P60*N60</f>
        <v>0.23349999999999999</v>
      </c>
      <c r="R60" s="109"/>
    </row>
    <row r="61" spans="1:18" ht="15.75" thickBot="1" x14ac:dyDescent="0.3">
      <c r="A61" s="1"/>
      <c r="B61" s="53">
        <f t="shared" ref="B61" si="57">ROW(B61) - ROW($B$9)</f>
        <v>52</v>
      </c>
      <c r="C61" s="102" t="s">
        <v>324</v>
      </c>
      <c r="D61" s="103" t="s">
        <v>45</v>
      </c>
      <c r="E61" s="104" t="s">
        <v>115</v>
      </c>
      <c r="F61" s="103" t="s">
        <v>166</v>
      </c>
      <c r="G61" s="104" t="s">
        <v>210</v>
      </c>
      <c r="H61" s="103" t="s">
        <v>229</v>
      </c>
      <c r="I61" s="103" t="s">
        <v>314</v>
      </c>
      <c r="J61" s="103" t="s">
        <v>396</v>
      </c>
      <c r="K61" s="104" t="s">
        <v>294</v>
      </c>
      <c r="L61" s="103">
        <v>1</v>
      </c>
      <c r="M61" s="96">
        <f t="shared" si="1"/>
        <v>20</v>
      </c>
      <c r="N61" s="96">
        <v>100</v>
      </c>
      <c r="O61" s="105" t="s">
        <v>343</v>
      </c>
      <c r="P61" s="96">
        <v>1.1999999999999999E-3</v>
      </c>
      <c r="Q61" s="96">
        <f t="shared" ref="Q61" si="58">N61*P61</f>
        <v>0.12</v>
      </c>
      <c r="R61" s="96"/>
    </row>
    <row r="62" spans="1:18" ht="15.75" thickBot="1" x14ac:dyDescent="0.3">
      <c r="A62" s="1"/>
      <c r="B62" s="53">
        <v>45</v>
      </c>
      <c r="C62" s="106" t="s">
        <v>324</v>
      </c>
      <c r="D62" s="107" t="s">
        <v>46</v>
      </c>
      <c r="E62" s="108" t="s">
        <v>116</v>
      </c>
      <c r="F62" s="107" t="s">
        <v>166</v>
      </c>
      <c r="G62" s="108" t="s">
        <v>211</v>
      </c>
      <c r="H62" s="107" t="s">
        <v>251</v>
      </c>
      <c r="I62" s="107" t="s">
        <v>314</v>
      </c>
      <c r="J62" s="107" t="s">
        <v>314</v>
      </c>
      <c r="K62" s="108" t="s">
        <v>295</v>
      </c>
      <c r="L62" s="107">
        <v>1</v>
      </c>
      <c r="M62" s="109">
        <f t="shared" si="1"/>
        <v>20</v>
      </c>
      <c r="N62" s="109">
        <v>50</v>
      </c>
      <c r="O62" s="110" t="s">
        <v>382</v>
      </c>
      <c r="P62" s="109">
        <v>1.11E-2</v>
      </c>
      <c r="Q62" s="109">
        <f t="shared" ref="Q62" si="59">P62*N62</f>
        <v>0.55500000000000005</v>
      </c>
      <c r="R62" s="109"/>
    </row>
    <row r="63" spans="1:18" ht="15.75" thickBot="1" x14ac:dyDescent="0.3">
      <c r="A63" s="1"/>
      <c r="B63" s="53">
        <f t="shared" ref="B63" si="60">ROW(B63) - ROW($B$9)</f>
        <v>54</v>
      </c>
      <c r="C63" s="102" t="s">
        <v>324</v>
      </c>
      <c r="D63" s="103" t="s">
        <v>47</v>
      </c>
      <c r="E63" s="104" t="s">
        <v>117</v>
      </c>
      <c r="F63" s="103" t="s">
        <v>166</v>
      </c>
      <c r="G63" s="104" t="s">
        <v>212</v>
      </c>
      <c r="H63" s="103" t="s">
        <v>229</v>
      </c>
      <c r="I63" s="103" t="s">
        <v>314</v>
      </c>
      <c r="J63" s="103" t="s">
        <v>397</v>
      </c>
      <c r="K63" s="104" t="s">
        <v>296</v>
      </c>
      <c r="L63" s="103">
        <v>1</v>
      </c>
      <c r="M63" s="96">
        <f t="shared" si="1"/>
        <v>20</v>
      </c>
      <c r="N63" s="96">
        <v>100</v>
      </c>
      <c r="O63" s="105" t="s">
        <v>343</v>
      </c>
      <c r="P63" s="96">
        <v>2.0999999999999999E-3</v>
      </c>
      <c r="Q63" s="96">
        <f t="shared" ref="Q63" si="61">N63*P63</f>
        <v>0.21</v>
      </c>
      <c r="R63" s="96"/>
    </row>
    <row r="64" spans="1:18" ht="15.75" thickBot="1" x14ac:dyDescent="0.3">
      <c r="A64" s="1"/>
      <c r="B64" s="53">
        <v>46</v>
      </c>
      <c r="C64" s="106" t="s">
        <v>324</v>
      </c>
      <c r="D64" s="107" t="s">
        <v>48</v>
      </c>
      <c r="E64" s="108" t="s">
        <v>118</v>
      </c>
      <c r="F64" s="107" t="s">
        <v>166</v>
      </c>
      <c r="G64" s="108" t="s">
        <v>213</v>
      </c>
      <c r="H64" s="107" t="s">
        <v>229</v>
      </c>
      <c r="I64" s="107" t="s">
        <v>314</v>
      </c>
      <c r="J64" s="107" t="s">
        <v>398</v>
      </c>
      <c r="K64" s="108" t="s">
        <v>297</v>
      </c>
      <c r="L64" s="107">
        <v>1</v>
      </c>
      <c r="M64" s="109">
        <f t="shared" si="1"/>
        <v>20</v>
      </c>
      <c r="N64" s="109">
        <v>100</v>
      </c>
      <c r="O64" s="110" t="s">
        <v>343</v>
      </c>
      <c r="P64" s="109">
        <v>1.6000000000000001E-3</v>
      </c>
      <c r="Q64" s="109">
        <f t="shared" ref="Q64" si="62">P64*N64</f>
        <v>0.16</v>
      </c>
      <c r="R64" s="109"/>
    </row>
    <row r="65" spans="1:18" ht="15.75" thickBot="1" x14ac:dyDescent="0.3">
      <c r="A65" s="1"/>
      <c r="B65" s="53">
        <f t="shared" ref="B65" si="63">ROW(B65) - ROW($B$9)</f>
        <v>56</v>
      </c>
      <c r="C65" s="102" t="s">
        <v>324</v>
      </c>
      <c r="D65" s="103" t="s">
        <v>49</v>
      </c>
      <c r="E65" s="104" t="s">
        <v>119</v>
      </c>
      <c r="F65" s="103" t="s">
        <v>166</v>
      </c>
      <c r="G65" s="104" t="s">
        <v>214</v>
      </c>
      <c r="H65" s="103" t="s">
        <v>229</v>
      </c>
      <c r="I65" s="103" t="s">
        <v>399</v>
      </c>
      <c r="J65" s="103" t="s">
        <v>400</v>
      </c>
      <c r="K65" s="104" t="s">
        <v>298</v>
      </c>
      <c r="L65" s="103">
        <v>1</v>
      </c>
      <c r="M65" s="96">
        <f t="shared" si="1"/>
        <v>20</v>
      </c>
      <c r="N65" s="96">
        <v>50</v>
      </c>
      <c r="O65" s="105" t="s">
        <v>343</v>
      </c>
      <c r="P65" s="96">
        <v>6.8999999999999999E-3</v>
      </c>
      <c r="Q65" s="96">
        <f t="shared" ref="Q65" si="64">N65*P65</f>
        <v>0.34499999999999997</v>
      </c>
      <c r="R65" s="96"/>
    </row>
    <row r="66" spans="1:18" ht="36.75" thickBot="1" x14ac:dyDescent="0.3">
      <c r="A66" s="1"/>
      <c r="B66" s="53">
        <v>47</v>
      </c>
      <c r="C66" s="106" t="s">
        <v>324</v>
      </c>
      <c r="D66" s="107" t="s">
        <v>462</v>
      </c>
      <c r="E66" s="108" t="s">
        <v>120</v>
      </c>
      <c r="F66" s="107" t="s">
        <v>166</v>
      </c>
      <c r="G66" s="108" t="s">
        <v>215</v>
      </c>
      <c r="H66" s="107" t="s">
        <v>229</v>
      </c>
      <c r="I66" s="107" t="s">
        <v>314</v>
      </c>
      <c r="J66" s="107" t="s">
        <v>401</v>
      </c>
      <c r="K66" s="108" t="s">
        <v>299</v>
      </c>
      <c r="L66" s="107">
        <v>2</v>
      </c>
      <c r="M66" s="109">
        <f t="shared" si="1"/>
        <v>40</v>
      </c>
      <c r="N66" s="109">
        <v>100</v>
      </c>
      <c r="O66" s="110" t="s">
        <v>343</v>
      </c>
      <c r="P66" s="109">
        <v>1.1000000000000001E-3</v>
      </c>
      <c r="Q66" s="109">
        <f t="shared" ref="Q66" si="65">P66*N66</f>
        <v>0.11</v>
      </c>
      <c r="R66" s="109"/>
    </row>
    <row r="67" spans="1:18" ht="15.75" thickBot="1" x14ac:dyDescent="0.3">
      <c r="A67" s="1"/>
      <c r="B67" s="53">
        <f t="shared" ref="B67" si="66">ROW(B67) - ROW($B$9)</f>
        <v>58</v>
      </c>
      <c r="C67" s="60" t="s">
        <v>324</v>
      </c>
      <c r="D67" s="37" t="s">
        <v>50</v>
      </c>
      <c r="E67" s="38" t="s">
        <v>121</v>
      </c>
      <c r="F67" s="37" t="s">
        <v>166</v>
      </c>
      <c r="G67" s="38" t="s">
        <v>216</v>
      </c>
      <c r="H67" s="37" t="s">
        <v>229</v>
      </c>
      <c r="I67" s="37" t="s">
        <v>314</v>
      </c>
      <c r="J67" s="37" t="s">
        <v>402</v>
      </c>
      <c r="K67" s="38" t="s">
        <v>300</v>
      </c>
      <c r="L67" s="37">
        <v>2</v>
      </c>
      <c r="M67" s="41">
        <f t="shared" si="1"/>
        <v>40</v>
      </c>
      <c r="N67" s="41">
        <v>100</v>
      </c>
      <c r="O67" s="63" t="s">
        <v>343</v>
      </c>
      <c r="P67" s="41">
        <v>1.5E-3</v>
      </c>
      <c r="Q67" s="41">
        <f t="shared" ref="Q67" si="67">P67*N67</f>
        <v>0.15</v>
      </c>
      <c r="R67" s="41"/>
    </row>
    <row r="68" spans="1:18" ht="15.75" thickBot="1" x14ac:dyDescent="0.3">
      <c r="A68" s="1"/>
      <c r="B68" s="53">
        <v>48</v>
      </c>
      <c r="C68" s="59" t="s">
        <v>324</v>
      </c>
      <c r="D68" s="87" t="s">
        <v>424</v>
      </c>
      <c r="E68" s="40" t="s">
        <v>111</v>
      </c>
      <c r="F68" s="39" t="s">
        <v>166</v>
      </c>
      <c r="G68" s="40" t="s">
        <v>206</v>
      </c>
      <c r="H68" s="39" t="s">
        <v>229</v>
      </c>
      <c r="I68" s="39"/>
      <c r="J68" s="39" t="s">
        <v>394</v>
      </c>
      <c r="K68" s="40" t="s">
        <v>290</v>
      </c>
      <c r="L68" s="39">
        <v>1</v>
      </c>
      <c r="M68" s="42">
        <f>L68*20</f>
        <v>20</v>
      </c>
      <c r="N68" s="42">
        <v>100</v>
      </c>
      <c r="O68" s="64" t="s">
        <v>343</v>
      </c>
      <c r="P68" s="42">
        <v>1.5E-3</v>
      </c>
      <c r="Q68" s="42">
        <f>N68*P68</f>
        <v>0.15</v>
      </c>
      <c r="R68" s="77"/>
    </row>
    <row r="69" spans="1:18" ht="15.75" thickBot="1" x14ac:dyDescent="0.3">
      <c r="A69" s="1"/>
      <c r="B69" s="53">
        <f t="shared" ref="B69" si="68">ROW(B69) - ROW($B$9)</f>
        <v>60</v>
      </c>
      <c r="C69" s="60" t="s">
        <v>324</v>
      </c>
      <c r="D69" s="37" t="s">
        <v>51</v>
      </c>
      <c r="E69" s="38" t="s">
        <v>122</v>
      </c>
      <c r="F69" s="37" t="s">
        <v>166</v>
      </c>
      <c r="G69" s="38" t="s">
        <v>217</v>
      </c>
      <c r="H69" s="37" t="s">
        <v>229</v>
      </c>
      <c r="I69" s="37" t="s">
        <v>314</v>
      </c>
      <c r="J69" s="37" t="s">
        <v>403</v>
      </c>
      <c r="K69" s="38" t="s">
        <v>301</v>
      </c>
      <c r="L69" s="37">
        <v>2</v>
      </c>
      <c r="M69" s="41">
        <f t="shared" si="1"/>
        <v>40</v>
      </c>
      <c r="N69" s="41">
        <v>100</v>
      </c>
      <c r="O69" s="63" t="s">
        <v>343</v>
      </c>
      <c r="P69" s="41">
        <v>1.5E-3</v>
      </c>
      <c r="Q69" s="41">
        <f t="shared" ref="Q69" si="69">P69*N69</f>
        <v>0.15</v>
      </c>
      <c r="R69" s="41"/>
    </row>
    <row r="70" spans="1:18" ht="15.75" thickBot="1" x14ac:dyDescent="0.3">
      <c r="A70" s="1"/>
      <c r="B70" s="53">
        <v>49</v>
      </c>
      <c r="C70" s="59" t="s">
        <v>324</v>
      </c>
      <c r="D70" s="39" t="s">
        <v>52</v>
      </c>
      <c r="E70" s="40" t="s">
        <v>123</v>
      </c>
      <c r="F70" s="39" t="s">
        <v>166</v>
      </c>
      <c r="G70" s="40" t="s">
        <v>218</v>
      </c>
      <c r="H70" s="39" t="s">
        <v>251</v>
      </c>
      <c r="I70" s="39" t="s">
        <v>314</v>
      </c>
      <c r="J70" s="39" t="s">
        <v>314</v>
      </c>
      <c r="K70" s="40" t="s">
        <v>302</v>
      </c>
      <c r="L70" s="39">
        <v>1</v>
      </c>
      <c r="M70" s="42">
        <f t="shared" si="1"/>
        <v>20</v>
      </c>
      <c r="N70" s="42">
        <v>25</v>
      </c>
      <c r="O70" s="64" t="s">
        <v>404</v>
      </c>
      <c r="P70" s="42">
        <v>8.5400000000000004E-2</v>
      </c>
      <c r="Q70" s="42">
        <f t="shared" ref="Q70" si="70">N70*P70</f>
        <v>2.1350000000000002</v>
      </c>
      <c r="R70" s="42"/>
    </row>
    <row r="71" spans="1:18" ht="15.75" thickBot="1" x14ac:dyDescent="0.3">
      <c r="A71" s="1"/>
      <c r="B71" s="53">
        <f t="shared" ref="B71" si="71">ROW(B71) - ROW($B$9)</f>
        <v>62</v>
      </c>
      <c r="C71" s="60" t="s">
        <v>324</v>
      </c>
      <c r="D71" s="37" t="s">
        <v>53</v>
      </c>
      <c r="E71" s="38" t="s">
        <v>434</v>
      </c>
      <c r="F71" s="86" t="s">
        <v>166</v>
      </c>
      <c r="G71" s="38" t="s">
        <v>450</v>
      </c>
      <c r="H71" s="37" t="s">
        <v>252</v>
      </c>
      <c r="I71" s="37" t="s">
        <v>314</v>
      </c>
      <c r="J71" s="37" t="s">
        <v>435</v>
      </c>
      <c r="K71" s="38" t="s">
        <v>449</v>
      </c>
      <c r="L71" s="37">
        <v>1</v>
      </c>
      <c r="M71" s="41">
        <f t="shared" ref="M71:M88" si="72">L71*20</f>
        <v>20</v>
      </c>
      <c r="N71" s="41">
        <v>50</v>
      </c>
      <c r="O71" s="63" t="s">
        <v>343</v>
      </c>
      <c r="P71" s="41">
        <v>3.8E-3</v>
      </c>
      <c r="Q71" s="41">
        <f t="shared" ref="Q71" si="73">P71*N71</f>
        <v>0.19</v>
      </c>
      <c r="R71" s="76"/>
    </row>
    <row r="72" spans="1:18" ht="15.75" thickBot="1" x14ac:dyDescent="0.3">
      <c r="A72" s="1"/>
      <c r="B72" s="53">
        <v>50</v>
      </c>
      <c r="C72" s="59" t="s">
        <v>324</v>
      </c>
      <c r="D72" s="39" t="s">
        <v>451</v>
      </c>
      <c r="E72" s="40" t="s">
        <v>127</v>
      </c>
      <c r="F72" s="39" t="s">
        <v>166</v>
      </c>
      <c r="G72" s="40" t="s">
        <v>220</v>
      </c>
      <c r="H72" s="39" t="s">
        <v>229</v>
      </c>
      <c r="I72" s="39" t="s">
        <v>314</v>
      </c>
      <c r="J72" s="39" t="s">
        <v>408</v>
      </c>
      <c r="K72" s="40" t="s">
        <v>306</v>
      </c>
      <c r="L72" s="39">
        <v>6</v>
      </c>
      <c r="M72" s="42">
        <f>L72*20</f>
        <v>120</v>
      </c>
      <c r="N72" s="42">
        <v>200</v>
      </c>
      <c r="O72" s="64" t="s">
        <v>343</v>
      </c>
      <c r="P72" s="42">
        <v>1.1999999999999999E-3</v>
      </c>
      <c r="Q72" s="42">
        <f t="shared" ref="Q72" si="74">N72*P72</f>
        <v>0.24</v>
      </c>
      <c r="R72" s="77"/>
    </row>
    <row r="73" spans="1:18" ht="36.75" thickBot="1" x14ac:dyDescent="0.3">
      <c r="A73" s="1"/>
      <c r="B73" s="53">
        <f t="shared" ref="B73" si="75">ROW(B73) - ROW($B$9)</f>
        <v>64</v>
      </c>
      <c r="C73" s="60" t="s">
        <v>324</v>
      </c>
      <c r="D73" s="37" t="s">
        <v>54</v>
      </c>
      <c r="E73" s="38" t="s">
        <v>124</v>
      </c>
      <c r="F73" s="37" t="s">
        <v>166</v>
      </c>
      <c r="G73" s="38" t="s">
        <v>330</v>
      </c>
      <c r="H73" s="37" t="s">
        <v>252</v>
      </c>
      <c r="I73" s="37" t="s">
        <v>314</v>
      </c>
      <c r="J73" s="37" t="s">
        <v>405</v>
      </c>
      <c r="K73" s="38" t="s">
        <v>303</v>
      </c>
      <c r="L73" s="37">
        <v>1</v>
      </c>
      <c r="M73" s="41">
        <f t="shared" si="72"/>
        <v>20</v>
      </c>
      <c r="N73" s="41">
        <v>100</v>
      </c>
      <c r="O73" s="63" t="s">
        <v>343</v>
      </c>
      <c r="P73" s="41">
        <v>1E-3</v>
      </c>
      <c r="Q73" s="41">
        <f t="shared" ref="Q73" si="76">P73*N73</f>
        <v>0.1</v>
      </c>
      <c r="R73" s="41"/>
    </row>
    <row r="74" spans="1:18" ht="36.75" thickBot="1" x14ac:dyDescent="0.3">
      <c r="A74" s="1"/>
      <c r="B74" s="53">
        <v>51</v>
      </c>
      <c r="C74" s="59" t="s">
        <v>324</v>
      </c>
      <c r="D74" s="39" t="s">
        <v>55</v>
      </c>
      <c r="E74" s="40" t="s">
        <v>125</v>
      </c>
      <c r="F74" s="39" t="s">
        <v>166</v>
      </c>
      <c r="G74" s="40" t="s">
        <v>331</v>
      </c>
      <c r="H74" s="39" t="s">
        <v>253</v>
      </c>
      <c r="I74" s="39" t="s">
        <v>314</v>
      </c>
      <c r="J74" s="39" t="s">
        <v>406</v>
      </c>
      <c r="K74" s="40" t="s">
        <v>304</v>
      </c>
      <c r="L74" s="39">
        <v>1</v>
      </c>
      <c r="M74" s="42">
        <f t="shared" si="72"/>
        <v>20</v>
      </c>
      <c r="N74" s="42">
        <v>50</v>
      </c>
      <c r="O74" s="64" t="s">
        <v>343</v>
      </c>
      <c r="P74" s="42">
        <v>4.3E-3</v>
      </c>
      <c r="Q74" s="42">
        <f t="shared" ref="Q74" si="77">N74*P74</f>
        <v>0.215</v>
      </c>
      <c r="R74" s="42"/>
    </row>
    <row r="75" spans="1:18" ht="15.75" thickBot="1" x14ac:dyDescent="0.3">
      <c r="A75" s="1"/>
      <c r="B75" s="53">
        <f t="shared" ref="B75" si="78">ROW(B75) - ROW($B$9)</f>
        <v>66</v>
      </c>
      <c r="C75" s="97" t="s">
        <v>324</v>
      </c>
      <c r="D75" s="98" t="s">
        <v>56</v>
      </c>
      <c r="E75" s="99" t="s">
        <v>126</v>
      </c>
      <c r="F75" s="98" t="s">
        <v>168</v>
      </c>
      <c r="G75" s="99" t="s">
        <v>219</v>
      </c>
      <c r="H75" s="98" t="s">
        <v>229</v>
      </c>
      <c r="I75" s="98" t="s">
        <v>314</v>
      </c>
      <c r="J75" s="98" t="s">
        <v>407</v>
      </c>
      <c r="K75" s="99" t="s">
        <v>305</v>
      </c>
      <c r="L75" s="98">
        <v>4</v>
      </c>
      <c r="M75" s="66">
        <f t="shared" si="72"/>
        <v>80</v>
      </c>
      <c r="N75" s="66">
        <v>100</v>
      </c>
      <c r="O75" s="100" t="s">
        <v>343</v>
      </c>
      <c r="P75" s="66">
        <v>1.1999999999999999E-3</v>
      </c>
      <c r="Q75" s="66">
        <f t="shared" ref="Q75" si="79">P75*N75</f>
        <v>0.12</v>
      </c>
      <c r="R75" s="66" t="s">
        <v>452</v>
      </c>
    </row>
    <row r="76" spans="1:18" ht="24.75" thickBot="1" x14ac:dyDescent="0.3">
      <c r="A76" s="1"/>
      <c r="B76" s="53">
        <v>52</v>
      </c>
      <c r="C76" s="97" t="s">
        <v>169</v>
      </c>
      <c r="D76" s="98" t="s">
        <v>453</v>
      </c>
      <c r="E76" s="99" t="s">
        <v>128</v>
      </c>
      <c r="F76" s="98" t="s">
        <v>169</v>
      </c>
      <c r="G76" s="99" t="s">
        <v>314</v>
      </c>
      <c r="H76" s="98" t="s">
        <v>314</v>
      </c>
      <c r="I76" s="98" t="s">
        <v>314</v>
      </c>
      <c r="J76" s="98" t="s">
        <v>314</v>
      </c>
      <c r="K76" s="99" t="s">
        <v>314</v>
      </c>
      <c r="L76" s="98">
        <v>15</v>
      </c>
      <c r="M76" s="66">
        <f t="shared" si="72"/>
        <v>300</v>
      </c>
      <c r="N76" s="66">
        <f t="shared" ref="N76:N77" si="80">M76+(M76*0.1)</f>
        <v>330</v>
      </c>
      <c r="O76" s="66"/>
      <c r="P76" s="66"/>
      <c r="Q76" s="66">
        <f t="shared" ref="Q76" si="81">P76*N76</f>
        <v>0</v>
      </c>
      <c r="R76" s="66" t="s">
        <v>384</v>
      </c>
    </row>
    <row r="77" spans="1:18" ht="36.75" thickBot="1" x14ac:dyDescent="0.3">
      <c r="A77" s="1"/>
      <c r="B77" s="53">
        <f t="shared" ref="B77" si="82">ROW(B77) - ROW($B$9)</f>
        <v>68</v>
      </c>
      <c r="C77" s="102" t="s">
        <v>326</v>
      </c>
      <c r="D77" s="103" t="s">
        <v>57</v>
      </c>
      <c r="E77" s="104" t="s">
        <v>129</v>
      </c>
      <c r="F77" s="103" t="s">
        <v>170</v>
      </c>
      <c r="G77" s="104" t="s">
        <v>314</v>
      </c>
      <c r="H77" s="103" t="s">
        <v>254</v>
      </c>
      <c r="I77" s="103" t="s">
        <v>314</v>
      </c>
      <c r="J77" s="103" t="s">
        <v>314</v>
      </c>
      <c r="K77" s="104" t="s">
        <v>314</v>
      </c>
      <c r="L77" s="103">
        <v>1</v>
      </c>
      <c r="M77" s="96">
        <f t="shared" si="72"/>
        <v>20</v>
      </c>
      <c r="N77" s="96">
        <f t="shared" si="80"/>
        <v>22</v>
      </c>
      <c r="O77" s="96"/>
      <c r="P77" s="96"/>
      <c r="Q77" s="96">
        <f t="shared" ref="Q77" si="83">N77*P77</f>
        <v>0</v>
      </c>
      <c r="R77" s="96"/>
    </row>
    <row r="78" spans="1:18" ht="24.75" thickBot="1" x14ac:dyDescent="0.3">
      <c r="A78" s="1"/>
      <c r="B78" s="53">
        <v>53</v>
      </c>
      <c r="C78" s="106" t="s">
        <v>327</v>
      </c>
      <c r="D78" s="107" t="s">
        <v>58</v>
      </c>
      <c r="E78" s="108" t="s">
        <v>130</v>
      </c>
      <c r="F78" s="107" t="s">
        <v>308</v>
      </c>
      <c r="G78" s="108">
        <v>750314597</v>
      </c>
      <c r="H78" s="107" t="s">
        <v>255</v>
      </c>
      <c r="I78" s="107" t="s">
        <v>314</v>
      </c>
      <c r="J78" s="107" t="s">
        <v>314</v>
      </c>
      <c r="K78" s="108" t="s">
        <v>314</v>
      </c>
      <c r="L78" s="107">
        <v>1</v>
      </c>
      <c r="M78" s="109">
        <f t="shared" si="72"/>
        <v>20</v>
      </c>
      <c r="N78" s="109">
        <v>21</v>
      </c>
      <c r="O78" s="110" t="s">
        <v>379</v>
      </c>
      <c r="P78" s="109">
        <v>3.81</v>
      </c>
      <c r="Q78" s="109">
        <f t="shared" ref="Q78" si="84">P78*N78</f>
        <v>80.010000000000005</v>
      </c>
      <c r="R78" s="109"/>
    </row>
    <row r="79" spans="1:18" ht="15.75" thickBot="1" x14ac:dyDescent="0.3">
      <c r="A79" s="1"/>
      <c r="B79" s="53">
        <f t="shared" ref="B79" si="85">ROW(B79) - ROW($B$9)</f>
        <v>70</v>
      </c>
      <c r="C79" s="102" t="s">
        <v>328</v>
      </c>
      <c r="D79" s="103" t="s">
        <v>59</v>
      </c>
      <c r="E79" s="104" t="s">
        <v>131</v>
      </c>
      <c r="F79" s="103" t="s">
        <v>308</v>
      </c>
      <c r="G79" s="104" t="s">
        <v>171</v>
      </c>
      <c r="H79" s="103" t="s">
        <v>256</v>
      </c>
      <c r="I79" s="103" t="s">
        <v>314</v>
      </c>
      <c r="J79" s="103" t="s">
        <v>314</v>
      </c>
      <c r="K79" s="104" t="s">
        <v>314</v>
      </c>
      <c r="L79" s="103">
        <v>1</v>
      </c>
      <c r="M79" s="96">
        <f t="shared" si="72"/>
        <v>20</v>
      </c>
      <c r="N79" s="96">
        <v>21</v>
      </c>
      <c r="O79" s="105" t="s">
        <v>409</v>
      </c>
      <c r="P79" s="96">
        <v>2.48</v>
      </c>
      <c r="Q79" s="96">
        <f t="shared" ref="Q79" si="86">N79*P79</f>
        <v>52.08</v>
      </c>
      <c r="R79" s="96"/>
    </row>
    <row r="80" spans="1:18" ht="15.75" thickBot="1" x14ac:dyDescent="0.3">
      <c r="A80" s="1"/>
      <c r="B80" s="53">
        <v>54</v>
      </c>
      <c r="C80" s="106" t="s">
        <v>328</v>
      </c>
      <c r="D80" s="107" t="s">
        <v>60</v>
      </c>
      <c r="E80" s="108" t="s">
        <v>132</v>
      </c>
      <c r="F80" s="107" t="s">
        <v>172</v>
      </c>
      <c r="G80" s="108" t="s">
        <v>221</v>
      </c>
      <c r="H80" s="107" t="s">
        <v>257</v>
      </c>
      <c r="I80" s="107" t="s">
        <v>410</v>
      </c>
      <c r="J80" s="107" t="s">
        <v>411</v>
      </c>
      <c r="K80" s="108" t="s">
        <v>314</v>
      </c>
      <c r="L80" s="107">
        <v>1</v>
      </c>
      <c r="M80" s="109">
        <f t="shared" si="72"/>
        <v>20</v>
      </c>
      <c r="N80" s="109">
        <v>21</v>
      </c>
      <c r="O80" s="110" t="s">
        <v>343</v>
      </c>
      <c r="P80" s="109">
        <v>1.3939999999999999</v>
      </c>
      <c r="Q80" s="109">
        <f t="shared" ref="Q80" si="87">P80*N80</f>
        <v>29.273999999999997</v>
      </c>
      <c r="R80" s="79"/>
    </row>
    <row r="81" spans="1:18" ht="36.75" thickBot="1" x14ac:dyDescent="0.3">
      <c r="A81" s="1"/>
      <c r="B81" s="53">
        <f t="shared" ref="B81" si="88">ROW(B81) - ROW($B$9)</f>
        <v>72</v>
      </c>
      <c r="C81" s="102" t="s">
        <v>328</v>
      </c>
      <c r="D81" s="103" t="s">
        <v>61</v>
      </c>
      <c r="E81" s="104" t="s">
        <v>133</v>
      </c>
      <c r="F81" s="103" t="s">
        <v>173</v>
      </c>
      <c r="G81" s="104" t="s">
        <v>222</v>
      </c>
      <c r="H81" s="103" t="s">
        <v>256</v>
      </c>
      <c r="I81" s="103" t="s">
        <v>412</v>
      </c>
      <c r="J81" s="103" t="s">
        <v>413</v>
      </c>
      <c r="K81" s="104" t="s">
        <v>314</v>
      </c>
      <c r="L81" s="103">
        <v>1</v>
      </c>
      <c r="M81" s="96">
        <f t="shared" si="72"/>
        <v>20</v>
      </c>
      <c r="N81" s="96">
        <v>21</v>
      </c>
      <c r="O81" s="105" t="s">
        <v>343</v>
      </c>
      <c r="P81" s="96">
        <v>0.69430000000000003</v>
      </c>
      <c r="Q81" s="96">
        <f t="shared" ref="Q81" si="89">N81*P81</f>
        <v>14.580300000000001</v>
      </c>
      <c r="R81" s="78"/>
    </row>
    <row r="82" spans="1:18" ht="15.75" thickBot="1" x14ac:dyDescent="0.3">
      <c r="A82" s="1"/>
      <c r="B82" s="53">
        <v>55</v>
      </c>
      <c r="C82" s="106" t="s">
        <v>328</v>
      </c>
      <c r="D82" s="107" t="s">
        <v>62</v>
      </c>
      <c r="E82" s="108" t="s">
        <v>134</v>
      </c>
      <c r="F82" s="107" t="s">
        <v>310</v>
      </c>
      <c r="G82" s="108" t="s">
        <v>174</v>
      </c>
      <c r="H82" s="107" t="s">
        <v>256</v>
      </c>
      <c r="I82" s="107" t="s">
        <v>314</v>
      </c>
      <c r="J82" s="107" t="s">
        <v>314</v>
      </c>
      <c r="K82" s="108" t="s">
        <v>314</v>
      </c>
      <c r="L82" s="107">
        <v>1</v>
      </c>
      <c r="M82" s="109">
        <f t="shared" si="72"/>
        <v>20</v>
      </c>
      <c r="N82" s="109">
        <v>21</v>
      </c>
      <c r="O82" s="110" t="s">
        <v>409</v>
      </c>
      <c r="P82" s="109">
        <v>3.637</v>
      </c>
      <c r="Q82" s="109">
        <f t="shared" ref="Q82" si="90">P82*N82</f>
        <v>76.376999999999995</v>
      </c>
      <c r="R82" s="109"/>
    </row>
    <row r="83" spans="1:18" ht="36.75" thickBot="1" x14ac:dyDescent="0.3">
      <c r="A83" s="1"/>
      <c r="B83" s="53">
        <f t="shared" ref="B83" si="91">ROW(B83) - ROW($B$9)</f>
        <v>74</v>
      </c>
      <c r="C83" s="102" t="s">
        <v>328</v>
      </c>
      <c r="D83" s="103" t="s">
        <v>63</v>
      </c>
      <c r="E83" s="104" t="s">
        <v>135</v>
      </c>
      <c r="F83" s="103" t="s">
        <v>175</v>
      </c>
      <c r="G83" s="104" t="s">
        <v>223</v>
      </c>
      <c r="H83" s="103" t="s">
        <v>256</v>
      </c>
      <c r="I83" s="103" t="s">
        <v>314</v>
      </c>
      <c r="J83" s="103" t="s">
        <v>414</v>
      </c>
      <c r="K83" s="104" t="s">
        <v>314</v>
      </c>
      <c r="L83" s="103">
        <v>1</v>
      </c>
      <c r="M83" s="96">
        <f t="shared" si="72"/>
        <v>20</v>
      </c>
      <c r="N83" s="96">
        <v>21</v>
      </c>
      <c r="O83" s="105" t="s">
        <v>343</v>
      </c>
      <c r="P83" s="96">
        <v>0.43280000000000002</v>
      </c>
      <c r="Q83" s="96">
        <f t="shared" ref="Q83" si="92">N83*P83</f>
        <v>9.0888000000000009</v>
      </c>
      <c r="R83" s="96"/>
    </row>
    <row r="84" spans="1:18" ht="24.75" thickBot="1" x14ac:dyDescent="0.3">
      <c r="A84" s="1"/>
      <c r="B84" s="53">
        <v>56</v>
      </c>
      <c r="C84" s="71" t="s">
        <v>328</v>
      </c>
      <c r="D84" s="72" t="s">
        <v>64</v>
      </c>
      <c r="E84" s="73" t="s">
        <v>136</v>
      </c>
      <c r="F84" s="72" t="s">
        <v>176</v>
      </c>
      <c r="G84" s="73" t="s">
        <v>224</v>
      </c>
      <c r="H84" s="72" t="s">
        <v>258</v>
      </c>
      <c r="I84" s="72" t="s">
        <v>314</v>
      </c>
      <c r="J84" s="72" t="s">
        <v>415</v>
      </c>
      <c r="K84" s="73" t="s">
        <v>314</v>
      </c>
      <c r="L84" s="72">
        <v>1</v>
      </c>
      <c r="M84" s="74">
        <f t="shared" si="72"/>
        <v>20</v>
      </c>
      <c r="N84" s="74">
        <v>21</v>
      </c>
      <c r="O84" s="75" t="s">
        <v>343</v>
      </c>
      <c r="P84" s="74">
        <v>7.4638</v>
      </c>
      <c r="Q84" s="74">
        <f t="shared" ref="Q84" si="93">P84*N84</f>
        <v>156.7398</v>
      </c>
      <c r="R84" s="74" t="s">
        <v>438</v>
      </c>
    </row>
    <row r="85" spans="1:18" ht="15.75" thickBot="1" x14ac:dyDescent="0.3">
      <c r="A85" s="1"/>
      <c r="B85" s="53">
        <f t="shared" ref="B85" si="94">ROW(B85) - ROW($B$9)</f>
        <v>76</v>
      </c>
      <c r="C85" s="102" t="s">
        <v>328</v>
      </c>
      <c r="D85" s="103" t="s">
        <v>65</v>
      </c>
      <c r="E85" s="104" t="s">
        <v>137</v>
      </c>
      <c r="F85" s="103" t="s">
        <v>177</v>
      </c>
      <c r="G85" s="104" t="s">
        <v>225</v>
      </c>
      <c r="H85" s="103" t="s">
        <v>259</v>
      </c>
      <c r="I85" s="103" t="s">
        <v>314</v>
      </c>
      <c r="J85" s="103" t="s">
        <v>314</v>
      </c>
      <c r="K85" s="113" t="s">
        <v>314</v>
      </c>
      <c r="L85" s="103">
        <v>1</v>
      </c>
      <c r="M85" s="96">
        <f t="shared" si="72"/>
        <v>20</v>
      </c>
      <c r="N85" s="96">
        <v>21</v>
      </c>
      <c r="O85" s="105" t="s">
        <v>409</v>
      </c>
      <c r="P85" s="96">
        <v>2.6459999999999999</v>
      </c>
      <c r="Q85" s="96">
        <f t="shared" ref="Q85" si="95">N85*P85</f>
        <v>55.565999999999995</v>
      </c>
      <c r="R85" s="96"/>
    </row>
    <row r="86" spans="1:18" ht="15.75" thickBot="1" x14ac:dyDescent="0.3">
      <c r="A86" s="1"/>
      <c r="B86" s="53">
        <v>57</v>
      </c>
      <c r="C86" s="106" t="s">
        <v>328</v>
      </c>
      <c r="D86" s="107" t="s">
        <v>454</v>
      </c>
      <c r="E86" s="108" t="s">
        <v>138</v>
      </c>
      <c r="F86" s="107" t="s">
        <v>311</v>
      </c>
      <c r="G86" s="108" t="s">
        <v>178</v>
      </c>
      <c r="H86" s="107" t="s">
        <v>256</v>
      </c>
      <c r="I86" s="107" t="s">
        <v>416</v>
      </c>
      <c r="J86" s="107" t="s">
        <v>417</v>
      </c>
      <c r="K86" s="108" t="s">
        <v>314</v>
      </c>
      <c r="L86" s="114">
        <v>2</v>
      </c>
      <c r="M86" s="109">
        <f t="shared" si="72"/>
        <v>40</v>
      </c>
      <c r="N86" s="109">
        <v>42</v>
      </c>
      <c r="O86" s="110" t="s">
        <v>343</v>
      </c>
      <c r="P86" s="109">
        <v>2.2974000000000001</v>
      </c>
      <c r="Q86" s="109">
        <f t="shared" ref="Q86" si="96">P86*N86</f>
        <v>96.490800000000007</v>
      </c>
      <c r="R86" s="79"/>
    </row>
    <row r="87" spans="1:18" ht="15.75" thickBot="1" x14ac:dyDescent="0.3">
      <c r="A87" s="1"/>
      <c r="B87" s="53">
        <f t="shared" ref="B87" si="97">ROW(B87) - ROW($B$9)</f>
        <v>78</v>
      </c>
      <c r="C87" s="60" t="s">
        <v>328</v>
      </c>
      <c r="D87" s="37" t="s">
        <v>66</v>
      </c>
      <c r="E87" s="38" t="s">
        <v>140</v>
      </c>
      <c r="F87" s="37" t="s">
        <v>313</v>
      </c>
      <c r="G87" s="38" t="s">
        <v>180</v>
      </c>
      <c r="H87" s="37" t="s">
        <v>256</v>
      </c>
      <c r="I87" s="62" t="s">
        <v>314</v>
      </c>
      <c r="J87" s="62" t="s">
        <v>420</v>
      </c>
      <c r="K87" s="38" t="s">
        <v>314</v>
      </c>
      <c r="L87" s="37">
        <v>1</v>
      </c>
      <c r="M87" s="41">
        <f>L87*20</f>
        <v>20</v>
      </c>
      <c r="N87" s="41">
        <v>21</v>
      </c>
      <c r="O87" s="63" t="s">
        <v>343</v>
      </c>
      <c r="P87" s="41">
        <v>0.39140000000000003</v>
      </c>
      <c r="Q87" s="41">
        <f t="shared" ref="Q87" si="98">P87*N87</f>
        <v>8.2194000000000003</v>
      </c>
      <c r="R87" s="41"/>
    </row>
    <row r="88" spans="1:18" ht="15.75" thickBot="1" x14ac:dyDescent="0.3">
      <c r="A88" s="1"/>
      <c r="B88" s="53">
        <v>58</v>
      </c>
      <c r="C88" s="59" t="s">
        <v>328</v>
      </c>
      <c r="D88" s="39" t="s">
        <v>455</v>
      </c>
      <c r="E88" s="40" t="s">
        <v>139</v>
      </c>
      <c r="F88" s="39" t="s">
        <v>312</v>
      </c>
      <c r="G88" s="40" t="s">
        <v>179</v>
      </c>
      <c r="H88" s="39" t="s">
        <v>259</v>
      </c>
      <c r="I88" s="39" t="s">
        <v>418</v>
      </c>
      <c r="J88" s="39" t="s">
        <v>314</v>
      </c>
      <c r="K88" s="40" t="s">
        <v>314</v>
      </c>
      <c r="L88" s="39">
        <v>1</v>
      </c>
      <c r="M88" s="42">
        <f t="shared" si="72"/>
        <v>20</v>
      </c>
      <c r="N88" s="42">
        <v>21</v>
      </c>
      <c r="O88" s="64" t="s">
        <v>419</v>
      </c>
      <c r="P88" s="42">
        <v>3.532</v>
      </c>
      <c r="Q88" s="42">
        <f t="shared" ref="Q88" si="99">N88*P88</f>
        <v>74.171999999999997</v>
      </c>
      <c r="R88" s="79"/>
    </row>
    <row r="89" spans="1:18" x14ac:dyDescent="0.25">
      <c r="A89" s="1"/>
      <c r="B89" s="32"/>
      <c r="C89" s="51"/>
      <c r="D89" s="33" t="s">
        <v>5</v>
      </c>
      <c r="E89" s="34"/>
      <c r="F89" s="35"/>
      <c r="G89" s="36"/>
      <c r="H89" s="35"/>
      <c r="I89" s="35"/>
      <c r="J89" s="35"/>
      <c r="K89" s="36"/>
      <c r="L89" s="36"/>
      <c r="M89" s="36"/>
      <c r="N89" s="36"/>
      <c r="O89" s="69" t="s">
        <v>421</v>
      </c>
      <c r="P89" s="67"/>
      <c r="Q89" s="67">
        <f>SUM(Q10:Q88)</f>
        <v>969.42630000000008</v>
      </c>
      <c r="R89" s="44"/>
    </row>
    <row r="90" spans="1:18" ht="15.75" thickBot="1" x14ac:dyDescent="0.3">
      <c r="A90" s="1"/>
      <c r="B90" s="24"/>
      <c r="C90" s="52"/>
      <c r="D90" s="8" t="s">
        <v>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70" t="s">
        <v>422</v>
      </c>
      <c r="P90" s="68"/>
      <c r="Q90" s="68">
        <f>Q89/20</f>
        <v>48.471315000000004</v>
      </c>
      <c r="R90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7" r:id="rId37"/>
    <hyperlink ref="O49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68" r:id="rId46"/>
    <hyperlink ref="O58" r:id="rId47"/>
    <hyperlink ref="O59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9" r:id="rId57"/>
    <hyperlink ref="O70" r:id="rId58"/>
    <hyperlink ref="O71" r:id="rId59"/>
    <hyperlink ref="O74" r:id="rId60"/>
    <hyperlink ref="O75" r:id="rId61"/>
    <hyperlink ref="O72" r:id="rId62"/>
    <hyperlink ref="O78" r:id="rId63"/>
    <hyperlink ref="O79" r:id="rId64"/>
    <hyperlink ref="O80" r:id="rId65"/>
    <hyperlink ref="O81" r:id="rId66"/>
    <hyperlink ref="O82" r:id="rId67"/>
    <hyperlink ref="O83" r:id="rId68"/>
    <hyperlink ref="O84" r:id="rId69"/>
    <hyperlink ref="O85" r:id="rId70"/>
    <hyperlink ref="O86" r:id="rId71"/>
    <hyperlink ref="O88" r:id="rId72"/>
    <hyperlink ref="O87" r:id="rId73"/>
    <hyperlink ref="O57" r:id="rId74"/>
    <hyperlink ref="O46" r:id="rId75"/>
  </hyperlinks>
  <pageMargins left="0.7" right="0.7" top="0.75" bottom="0.75" header="0.3" footer="0.3"/>
  <pageSetup paperSize="9" orientation="portrait" r:id="rId76"/>
  <drawing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2022-08-25T13:34:36Z</dcterms:modified>
</cp:coreProperties>
</file>