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eSpark\ColeBenson-SmartMotors\Deliverables\SM_Top Board\_BOM\"/>
    </mc:Choice>
  </mc:AlternateContent>
  <xr:revisionPtr revIDLastSave="0" documentId="13_ncr:1_{B4060B9E-6605-424E-A422-D3FAD764FA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_Top_PC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1" i="1" l="1"/>
  <c r="P48" i="1" l="1"/>
  <c r="O48" i="1"/>
  <c r="Q48" i="1"/>
  <c r="R48" i="1" s="1"/>
  <c r="R46" i="1"/>
  <c r="R47" i="1"/>
  <c r="R49" i="1"/>
  <c r="R50" i="1"/>
  <c r="R51" i="1"/>
  <c r="R52" i="1"/>
  <c r="R58" i="1" s="1"/>
  <c r="R54" i="1"/>
  <c r="R44" i="1"/>
  <c r="R42" i="1"/>
  <c r="R40" i="1"/>
  <c r="P40" i="1"/>
  <c r="R39" i="1"/>
  <c r="P39" i="1"/>
  <c r="R38" i="1"/>
  <c r="P38" i="1"/>
  <c r="R37" i="1"/>
  <c r="P37" i="1"/>
  <c r="R36" i="1"/>
  <c r="P36" i="1"/>
  <c r="R35" i="1"/>
  <c r="P35" i="1"/>
  <c r="R34" i="1"/>
  <c r="P34" i="1"/>
  <c r="R33" i="1"/>
  <c r="P33" i="1"/>
  <c r="R32" i="1"/>
  <c r="P32" i="1"/>
  <c r="R30" i="1"/>
  <c r="R31" i="1"/>
  <c r="P30" i="1"/>
  <c r="P31" i="1"/>
  <c r="R29" i="1"/>
  <c r="P29" i="1"/>
  <c r="R28" i="1"/>
  <c r="P28" i="1"/>
  <c r="R27" i="1"/>
  <c r="P27" i="1"/>
  <c r="R23" i="1"/>
  <c r="P23" i="1"/>
  <c r="P22" i="1"/>
  <c r="P21" i="1"/>
  <c r="R21" i="1"/>
  <c r="R19" i="1"/>
  <c r="P19" i="1"/>
  <c r="R18" i="1"/>
  <c r="P18" i="1"/>
  <c r="P16" i="1"/>
  <c r="P15" i="1"/>
  <c r="R14" i="1"/>
  <c r="P14" i="1"/>
  <c r="R13" i="1"/>
  <c r="P13" i="1"/>
  <c r="R12" i="1"/>
  <c r="P12" i="1"/>
  <c r="R11" i="1"/>
  <c r="P11" i="1"/>
  <c r="R9" i="1"/>
  <c r="P9" i="1"/>
  <c r="R8" i="1"/>
  <c r="P8" i="1"/>
  <c r="R7" i="1"/>
  <c r="P7" i="1"/>
  <c r="P5" i="1"/>
  <c r="R4" i="1"/>
  <c r="P4" i="1"/>
  <c r="P3" i="1"/>
  <c r="P53" i="1"/>
  <c r="P10" i="1"/>
  <c r="P17" i="1"/>
  <c r="P20" i="1"/>
  <c r="P24" i="1"/>
  <c r="P25" i="1"/>
  <c r="P26" i="1"/>
  <c r="P42" i="1"/>
  <c r="P43" i="1"/>
  <c r="P44" i="1"/>
  <c r="P45" i="1"/>
  <c r="P46" i="1"/>
  <c r="P47" i="1"/>
  <c r="P49" i="1"/>
  <c r="P50" i="1"/>
  <c r="P51" i="1"/>
  <c r="P52" i="1"/>
  <c r="P58" i="1" s="1"/>
  <c r="P54" i="1"/>
  <c r="P6" i="1"/>
  <c r="M16" i="1"/>
  <c r="R16" i="1" s="1"/>
  <c r="P56" i="1"/>
  <c r="P57" i="1"/>
  <c r="M4" i="1"/>
  <c r="M5" i="1"/>
  <c r="R5" i="1" s="1"/>
  <c r="M6" i="1"/>
  <c r="R6" i="1" s="1"/>
  <c r="M7" i="1"/>
  <c r="M8" i="1"/>
  <c r="M9" i="1"/>
  <c r="M10" i="1"/>
  <c r="R10" i="1" s="1"/>
  <c r="M11" i="1"/>
  <c r="M12" i="1"/>
  <c r="M13" i="1"/>
  <c r="M14" i="1"/>
  <c r="M15" i="1"/>
  <c r="R15" i="1" s="1"/>
  <c r="M17" i="1"/>
  <c r="R17" i="1" s="1"/>
  <c r="M18" i="1"/>
  <c r="M19" i="1"/>
  <c r="M20" i="1"/>
  <c r="R20" i="1" s="1"/>
  <c r="M21" i="1"/>
  <c r="M22" i="1"/>
  <c r="R22" i="1" s="1"/>
  <c r="M23" i="1"/>
  <c r="M24" i="1"/>
  <c r="R24" i="1" s="1"/>
  <c r="M25" i="1"/>
  <c r="R25" i="1" s="1"/>
  <c r="M26" i="1"/>
  <c r="R26" i="1" s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R43" i="1" s="1"/>
  <c r="M44" i="1"/>
  <c r="M45" i="1"/>
  <c r="R45" i="1" s="1"/>
  <c r="M46" i="1"/>
  <c r="M47" i="1"/>
  <c r="M48" i="1"/>
  <c r="M49" i="1"/>
  <c r="M50" i="1"/>
  <c r="M51" i="1"/>
  <c r="M52" i="1"/>
  <c r="M53" i="1"/>
  <c r="M54" i="1"/>
  <c r="M55" i="1"/>
  <c r="M56" i="1"/>
  <c r="R56" i="1" s="1"/>
  <c r="M57" i="1"/>
  <c r="R57" i="1" s="1"/>
  <c r="M3" i="1"/>
  <c r="R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</calcChain>
</file>

<file path=xl/sharedStrings.xml><?xml version="1.0" encoding="utf-8"?>
<sst xmlns="http://schemas.openxmlformats.org/spreadsheetml/2006/main" count="459" uniqueCount="323">
  <si>
    <t>Description</t>
  </si>
  <si>
    <t>Designator</t>
  </si>
  <si>
    <t>Manufacturer Part Number</t>
  </si>
  <si>
    <t>220uF</t>
  </si>
  <si>
    <t>220uF ±20% 63V 10mm 14.5mm 1.2A 100kHz 10000hrs 105? -55?~+105? SMD,10x14.5mm Aluminum Electrolytic Capacitors - SMD RoHS</t>
  </si>
  <si>
    <t>C1, C22</t>
  </si>
  <si>
    <t>VKME1451J221MV</t>
  </si>
  <si>
    <t>0.1uF</t>
  </si>
  <si>
    <t>Cap Ceramic 0.1uF 50VDC X7R 10% SMD 0603 Paper T/R</t>
  </si>
  <si>
    <t>C2, C13, CF1, CF2, CF3, CF4, CF5, CF6</t>
  </si>
  <si>
    <t>Cap0603</t>
  </si>
  <si>
    <t>CL10B104KB8NNNC</t>
  </si>
  <si>
    <t>1uF</t>
  </si>
  <si>
    <t>CAP CER 1UF 100V X7S 0805</t>
  </si>
  <si>
    <t>C3</t>
  </si>
  <si>
    <t>Cap0805</t>
  </si>
  <si>
    <t>C2012X7S2A105K125AB</t>
  </si>
  <si>
    <t>470uF</t>
  </si>
  <si>
    <t>470uF ±20% 50V 12.5mm 13.5mm 1000hrs 105? -40?~+105? SMD,12.5x13.5mm Aluminum Electrolytic Capacitors - SMD RoHS</t>
  </si>
  <si>
    <t>C4</t>
  </si>
  <si>
    <t>VT1H471MI135000CE0</t>
  </si>
  <si>
    <t>68uF</t>
  </si>
  <si>
    <t>68uF ±20% 50V 6.3mm 10mm 390mA 6.3x10mm Aluminum Electrolytic Capacitors - SMD RoHS</t>
  </si>
  <si>
    <t>C5</t>
  </si>
  <si>
    <t>VKMC1001H680MV</t>
  </si>
  <si>
    <t>680pF</t>
  </si>
  <si>
    <t>CAP CER 680pF 50 V 0603</t>
  </si>
  <si>
    <t>C6</t>
  </si>
  <si>
    <t>CC0603KRX7R9BB681</t>
  </si>
  <si>
    <t>0.47uF</t>
  </si>
  <si>
    <t>CAP CER 0.47uF 50V X7R 0603</t>
  </si>
  <si>
    <t>C7</t>
  </si>
  <si>
    <t>Cap 0603</t>
  </si>
  <si>
    <t>UMK107B7474KA-TR</t>
  </si>
  <si>
    <t>22uF</t>
  </si>
  <si>
    <t>22uF ±20% 35V X5R 0805 Multilayer Ceramic Capacitors MLCC - SMD/SMT RoHS</t>
  </si>
  <si>
    <t>C8</t>
  </si>
  <si>
    <t>C2012X5R1V226MT000E</t>
  </si>
  <si>
    <t>1uF, 25 V, 0603 [1608 Metric], &amp;#177; 10%, X5R, CC Series</t>
  </si>
  <si>
    <t>C9</t>
  </si>
  <si>
    <t>CC0603KRX5R8BB105</t>
  </si>
  <si>
    <t>2.2uF</t>
  </si>
  <si>
    <t>CAP, 2.2µF, 35V, 10%, X5R, 0603</t>
  </si>
  <si>
    <t>C10, C14, C23, C24, C29</t>
  </si>
  <si>
    <t>GRM188R6YA225KA12D</t>
  </si>
  <si>
    <t>4.7UF</t>
  </si>
  <si>
    <t>CAP CER 4.7UF 25V X5R 0603</t>
  </si>
  <si>
    <t>C11, C12</t>
  </si>
  <si>
    <t>CL10A475KA8NQNC</t>
  </si>
  <si>
    <t>CAP CER 10000PF 100V X7R 0603</t>
  </si>
  <si>
    <t>C15, C20</t>
  </si>
  <si>
    <t>CL10B103KC8NNNC</t>
  </si>
  <si>
    <t>220nF</t>
  </si>
  <si>
    <t>22nF</t>
  </si>
  <si>
    <t>0603 .022uF 100volts X7R 10% T=0.8mm</t>
  </si>
  <si>
    <t>C17</t>
  </si>
  <si>
    <t>CGA3E2X7R2A223K080AA</t>
  </si>
  <si>
    <t>.47uF</t>
  </si>
  <si>
    <t>C30</t>
  </si>
  <si>
    <t>1nF</t>
  </si>
  <si>
    <t>CAP CER 1nF 100V X7R 0603</t>
  </si>
  <si>
    <t>C57, C58, C59, C60</t>
  </si>
  <si>
    <t>Res0603</t>
  </si>
  <si>
    <t>CL10B102KC8NNNC</t>
  </si>
  <si>
    <t>VS-30WQ04FNTR-M3</t>
  </si>
  <si>
    <t>Diode Schottky 40V 3.5A 3-Pin(2+Tab) DPAK T/R</t>
  </si>
  <si>
    <t>D2</t>
  </si>
  <si>
    <t>PMEG3010ER,115</t>
  </si>
  <si>
    <t>DIODE SCHOTTKY 30V 1A SOD123W</t>
  </si>
  <si>
    <t>D4, D5, D6, D7, D8, D9, D10, D11</t>
  </si>
  <si>
    <t>SOD-123W</t>
  </si>
  <si>
    <t>0685H9150-01</t>
  </si>
  <si>
    <t>FUSE BOARD MNT 15A 125VAC 32VDC</t>
  </si>
  <si>
    <t>F1</t>
  </si>
  <si>
    <t>MC-318</t>
  </si>
  <si>
    <t>USB - Type C Female 24 SMD USB Connectors RoHS</t>
  </si>
  <si>
    <t>J1</t>
  </si>
  <si>
    <t>5520425-2</t>
  </si>
  <si>
    <t>Conn RJ-25 F 6 POS 2.54mm Solder ST Thru-Hole 4 Terminal 1 Port Tray Cat 3</t>
  </si>
  <si>
    <t>J2, J5</t>
  </si>
  <si>
    <t>M55-7012042R</t>
  </si>
  <si>
    <t>CONN HEADER SMD 20POS 1.27MM</t>
  </si>
  <si>
    <t>J3</t>
  </si>
  <si>
    <t>B4P-VH-FB-B(LF)(SN)</t>
  </si>
  <si>
    <t>CONN HEADER VERT 4POS 3.96MM</t>
  </si>
  <si>
    <t>J4</t>
  </si>
  <si>
    <t>SPM10054T-680M-HZ</t>
  </si>
  <si>
    <t>FIXED IND 68UH 3.7A 162.87MOHM</t>
  </si>
  <si>
    <t>L1</t>
  </si>
  <si>
    <t>WS2812B-Mini</t>
  </si>
  <si>
    <t>SMD,3.5x3.5mm Light Emitting Diodes (LED) RoHS</t>
  </si>
  <si>
    <t>LED1</t>
  </si>
  <si>
    <t>XZVG68W-2</t>
  </si>
  <si>
    <t>LED GREEN CLEAR CHIP SMD</t>
  </si>
  <si>
    <t>LED2</t>
  </si>
  <si>
    <t>LED 0402</t>
  </si>
  <si>
    <t>PRT-10474</t>
  </si>
  <si>
    <t>XT60 CONNECTORS MALE/FEMALE PAIR</t>
  </si>
  <si>
    <t>P1, P2</t>
  </si>
  <si>
    <t>Test Point</t>
  </si>
  <si>
    <t>Test Point ON</t>
  </si>
  <si>
    <t>P3, P4, P5, P6</t>
  </si>
  <si>
    <t>TEST POINT</t>
  </si>
  <si>
    <t>61300211121</t>
  </si>
  <si>
    <t>CONN HEADER VERT 2POS 2.54MM</t>
  </si>
  <si>
    <t>P7, P8</t>
  </si>
  <si>
    <t>HDR1X2</t>
  </si>
  <si>
    <t>Header 1x2</t>
  </si>
  <si>
    <t>BSC072N08NS5ATMA1</t>
  </si>
  <si>
    <t>MOSFET N-CH 80V 74A 8TDSON</t>
  </si>
  <si>
    <t>Q2, Q3, Q4, Q5, Q6, Q7, Q8, Q9</t>
  </si>
  <si>
    <t>8-PowerTDFN</t>
  </si>
  <si>
    <t>5.1K</t>
  </si>
  <si>
    <t>RES SMD 5.1K OHM 5% 1/10W 0603</t>
  </si>
  <si>
    <t>R1, R2</t>
  </si>
  <si>
    <t>RC0603JR-075K1L</t>
  </si>
  <si>
    <t>0R</t>
  </si>
  <si>
    <t>RES SMD 0R, 1%, 0.1W, 0603</t>
  </si>
  <si>
    <t>R3, R29</t>
  </si>
  <si>
    <t>RC0603FR-070RL</t>
  </si>
  <si>
    <t>10.5K</t>
  </si>
  <si>
    <t>RES SMD 10.5K 0.1W 0603</t>
  </si>
  <si>
    <t>R4</t>
  </si>
  <si>
    <t>RC0603FR-0710K5L</t>
  </si>
  <si>
    <t>1K</t>
  </si>
  <si>
    <t>RES SMD 1K 0.1W 0603  75 V, Thick Film</t>
  </si>
  <si>
    <t>R5</t>
  </si>
  <si>
    <t>RC0603JR-071KL</t>
  </si>
  <si>
    <t>47R</t>
  </si>
  <si>
    <t>RES SMD 47OHM 0.1W 0603</t>
  </si>
  <si>
    <t>R6, R7, R8, R9</t>
  </si>
  <si>
    <t>RC0603FR-0747RL</t>
  </si>
  <si>
    <t>33m</t>
  </si>
  <si>
    <t>0.033O ±1% 2W ±1800ppm/°C 2512 Low Resistors &amp; Current Sense Resistors - Surface Mount RoHS</t>
  </si>
  <si>
    <t>R10, R11, R12, R13</t>
  </si>
  <si>
    <t>RES 2512</t>
  </si>
  <si>
    <t>CRH2512FR033E04Z</t>
  </si>
  <si>
    <t>150R</t>
  </si>
  <si>
    <t>RES SMD 150OHM 1/10W 0603</t>
  </si>
  <si>
    <t>R14, R15, R16, R17, R18, R19, R20, R26</t>
  </si>
  <si>
    <t>RC0603FR-07150RL</t>
  </si>
  <si>
    <t>3.01K</t>
  </si>
  <si>
    <t>RES SMD 3.01K OHM 1% 1/10W 0603</t>
  </si>
  <si>
    <t>R21</t>
  </si>
  <si>
    <t>ERJ3EKF3011V</t>
  </si>
  <si>
    <t>11K</t>
  </si>
  <si>
    <t>RES SMD 11K, 1%, 0.1W, 0603</t>
  </si>
  <si>
    <t>R22</t>
  </si>
  <si>
    <t>RC0603FR-0711KL</t>
  </si>
  <si>
    <t>2R2</t>
  </si>
  <si>
    <t>RES SMD 2.2OHM 0603</t>
  </si>
  <si>
    <t>R23</t>
  </si>
  <si>
    <t>ERJ3GEYJ2R2V</t>
  </si>
  <si>
    <t>12.4K</t>
  </si>
  <si>
    <t>RES SMD 12.4K OHM 1% 1/10W 0603</t>
  </si>
  <si>
    <t>R24</t>
  </si>
  <si>
    <t>RC0603FR-0712K4L</t>
  </si>
  <si>
    <t>143R</t>
  </si>
  <si>
    <t>RES SMD 143 OHM 1% 1/10W 0603</t>
  </si>
  <si>
    <t>R25</t>
  </si>
  <si>
    <t>ERJ-3EKF1430V</t>
  </si>
  <si>
    <t>11.8K</t>
  </si>
  <si>
    <t>RES SMD 11.8K OHM 1% 1/10W 0603</t>
  </si>
  <si>
    <t>R27</t>
  </si>
  <si>
    <t>AC0603FR-0711K8L</t>
  </si>
  <si>
    <t>105K</t>
  </si>
  <si>
    <t>RES SMD 105K OHM 1% 1/10W 0603</t>
  </si>
  <si>
    <t>R28</t>
  </si>
  <si>
    <t>RC0603FR-07105KL</t>
  </si>
  <si>
    <t>Solder Bridge</t>
  </si>
  <si>
    <t>Solder Bridge ON</t>
  </si>
  <si>
    <t>SB1</t>
  </si>
  <si>
    <t>Tactile Switch 13mm Actuator</t>
  </si>
  <si>
    <t>Memontary Tactile Push Button Switch 6X6X4.3 / 4.5 / 5/6/7/8/9/10 / 13mm SMD</t>
  </si>
  <si>
    <t>SW1</t>
  </si>
  <si>
    <t>SS-3235D-03-L2</t>
  </si>
  <si>
    <t>SPDT 50mA @ 12VDC 12V On-On SMD Toggle Switches RoHS</t>
  </si>
  <si>
    <t>SW2, SW3</t>
  </si>
  <si>
    <t>SN74LV1T34DBVR</t>
  </si>
  <si>
    <t>IC BUF NON-INVERT 5.5V SOT23-5</t>
  </si>
  <si>
    <t>U1</t>
  </si>
  <si>
    <t>SOT-23-5</t>
  </si>
  <si>
    <t>XL1509-ADJE1</t>
  </si>
  <si>
    <t>40V 2A SOP-8_150mil DC-DC Converters RoHS</t>
  </si>
  <si>
    <t>U2</t>
  </si>
  <si>
    <t>SOP-8</t>
  </si>
  <si>
    <t>LM2940SX-12/NOPB</t>
  </si>
  <si>
    <t>LDO Regulator Pos 12V 1A 4-Pin(3+Tab) TO-263 T/R</t>
  </si>
  <si>
    <t>U3</t>
  </si>
  <si>
    <t>TO-263-3</t>
  </si>
  <si>
    <t>AP2210N-5.0TRG1</t>
  </si>
  <si>
    <t>IC REG LINEAR 5V 300MA SOT23-3</t>
  </si>
  <si>
    <t>U4</t>
  </si>
  <si>
    <t>SOT-23</t>
  </si>
  <si>
    <t>NCP708MU330TAG</t>
  </si>
  <si>
    <t>IC REG LINEAR 3.3V 1A 6UDFN</t>
  </si>
  <si>
    <t>U5</t>
  </si>
  <si>
    <t>6-UDFN (3x3)</t>
  </si>
  <si>
    <t>TMC5160A-TA-T</t>
  </si>
  <si>
    <t>IC MTR DRVR BIPOLAR 8-60V 48TQFP</t>
  </si>
  <si>
    <t>U6</t>
  </si>
  <si>
    <t>48-tqfp-ep (7x7)</t>
  </si>
  <si>
    <t>MAX4236EUT+T</t>
  </si>
  <si>
    <t>IC OPAMP GP 1.7MHZ RRO SOT23-6</t>
  </si>
  <si>
    <t>U7</t>
  </si>
  <si>
    <t>SOT-23-6</t>
  </si>
  <si>
    <t>Bill of Material (BOM) for Cole Benson</t>
  </si>
  <si>
    <t>S. No.</t>
  </si>
  <si>
    <t>Components</t>
  </si>
  <si>
    <t>Footprint (Package)</t>
  </si>
  <si>
    <t>Manufacturer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</si>
  <si>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</si>
  <si>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</si>
  <si>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</si>
  <si>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</si>
  <si>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</si>
  <si>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</si>
  <si>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</si>
  <si>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</si>
  <si>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</si>
  <si>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Capacitor</t>
  </si>
  <si>
    <t>Diode</t>
  </si>
  <si>
    <t>Fuse</t>
  </si>
  <si>
    <t>Mosfet</t>
  </si>
  <si>
    <t>Inductor</t>
  </si>
  <si>
    <t>Resistor</t>
  </si>
  <si>
    <t>Switch</t>
  </si>
  <si>
    <t>Ics</t>
  </si>
  <si>
    <t>Connectors</t>
  </si>
  <si>
    <t>Ever Ohms Tech</t>
  </si>
  <si>
    <t>Yageo</t>
  </si>
  <si>
    <t>Panasonic Electronic Components</t>
  </si>
  <si>
    <t>Aliexpress</t>
  </si>
  <si>
    <t>Texas Instruments</t>
  </si>
  <si>
    <t>DIODES INC.</t>
  </si>
  <si>
    <t>ON Semiconductor</t>
  </si>
  <si>
    <t>Maxim Integrated</t>
  </si>
  <si>
    <t>TE Connectivity AMP Connectors</t>
  </si>
  <si>
    <t>Ymin</t>
  </si>
  <si>
    <t>Samsung</t>
  </si>
  <si>
    <t>TDK</t>
  </si>
  <si>
    <t>Changzhou Huawei Elec</t>
  </si>
  <si>
    <t>Taiyo Yuden</t>
  </si>
  <si>
    <t>Murata</t>
  </si>
  <si>
    <t>Kyocera AVX</t>
  </si>
  <si>
    <t>Vishay Semiconductors</t>
  </si>
  <si>
    <t>Nexperia</t>
  </si>
  <si>
    <t>Worldsemi</t>
  </si>
  <si>
    <t>SunLED</t>
  </si>
  <si>
    <t>Bel</t>
  </si>
  <si>
    <t>Infineon</t>
  </si>
  <si>
    <t>Remarks for senior reviewer</t>
  </si>
  <si>
    <t>Harwin Inc.</t>
  </si>
  <si>
    <t>JST Sales America Inc.</t>
  </si>
  <si>
    <t>SparkFun Electronics</t>
  </si>
  <si>
    <t>Würth Elektronik</t>
  </si>
  <si>
    <t>CAP CER 220nF 35V 0805</t>
  </si>
  <si>
    <t>C26, C27, C28, C31</t>
  </si>
  <si>
    <t>0805</t>
  </si>
  <si>
    <t>GMK212BJ224KGHT</t>
  </si>
  <si>
    <t>C16, C18, C19, C21</t>
  </si>
  <si>
    <t>TOTAL:</t>
  </si>
  <si>
    <t>LCSC</t>
  </si>
  <si>
    <t>LCSC MOQ</t>
  </si>
  <si>
    <t>LCSC part No</t>
  </si>
  <si>
    <t>C487391</t>
  </si>
  <si>
    <t>C1591</t>
  </si>
  <si>
    <t>Alternate suggested as similar package is easily available</t>
  </si>
  <si>
    <t>C105952</t>
  </si>
  <si>
    <t>C0805X105K101T</t>
  </si>
  <si>
    <t>C191227</t>
  </si>
  <si>
    <t>C487358</t>
  </si>
  <si>
    <t>C107096</t>
  </si>
  <si>
    <t>C92847</t>
  </si>
  <si>
    <t>C338080</t>
  </si>
  <si>
    <t>C14664</t>
  </si>
  <si>
    <t>C86017</t>
  </si>
  <si>
    <t>C69335</t>
  </si>
  <si>
    <t>C84709</t>
  </si>
  <si>
    <t>Cap Ceramic 0.22uF 100V X7R 10% SMD 0805 125°C Embossed T/R</t>
  </si>
  <si>
    <t>08051C224K4T2A</t>
  </si>
  <si>
    <t>C524973</t>
  </si>
  <si>
    <t>C780700</t>
  </si>
  <si>
    <t>NM0805B224K101CEDN</t>
  </si>
  <si>
    <t>Heisener</t>
  </si>
  <si>
    <t>---------------</t>
  </si>
  <si>
    <t>C153291</t>
  </si>
  <si>
    <t>--------------</t>
  </si>
  <si>
    <t>C527089</t>
  </si>
  <si>
    <t>16-213/GHC-YR1S1/3T</t>
  </si>
  <si>
    <t>C74338</t>
  </si>
  <si>
    <t>has similar footprint, color and mechanical specs.</t>
  </si>
  <si>
    <t>C404841</t>
  </si>
  <si>
    <t>C194555</t>
  </si>
  <si>
    <t>C14677</t>
  </si>
  <si>
    <t>------------</t>
  </si>
  <si>
    <t>C100044</t>
  </si>
  <si>
    <t>C137808</t>
  </si>
  <si>
    <t>C14676</t>
  </si>
  <si>
    <t>C114623</t>
  </si>
  <si>
    <t>C176032</t>
  </si>
  <si>
    <t>C114608</t>
  </si>
  <si>
    <t>C278616</t>
  </si>
  <si>
    <t>C137801</t>
  </si>
  <si>
    <t>C403470</t>
  </si>
  <si>
    <t>C137798</t>
  </si>
  <si>
    <t>C400649</t>
  </si>
  <si>
    <t>C227561</t>
  </si>
  <si>
    <t>C141685</t>
  </si>
  <si>
    <t>C381097</t>
  </si>
  <si>
    <t>XKB Connectivity</t>
  </si>
  <si>
    <t>C100024</t>
  </si>
  <si>
    <t>XLSEMI</t>
  </si>
  <si>
    <t>C74192</t>
  </si>
  <si>
    <t>C131916</t>
  </si>
  <si>
    <t>C183178</t>
  </si>
  <si>
    <t>SOFNG</t>
  </si>
  <si>
    <t>C183608</t>
  </si>
  <si>
    <t>C305968</t>
  </si>
  <si>
    <t>OnlineComponents</t>
  </si>
  <si>
    <t>Alexpress</t>
  </si>
  <si>
    <t>Unable to find chinese supplier. Farnell has 11 parts in stock</t>
  </si>
  <si>
    <t>Local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</si>
</sst>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2" fillId="0" borderId="5" applyNumberFormat="0" applyFill="0" applyAlignment="0" applyProtection="0"/>
  </cellStyleXfs>
  <cellXfs count="3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44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8" fillId="4" borderId="1" xfId="0" quotePrefix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4" fontId="8" fillId="4" borderId="1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2" fillId="0" borderId="5" xfId="2" applyAlignment="1">
      <alignment horizontal="center" vertical="center" wrapText="1"/>
    </xf>
    <xf numFmtId="164" fontId="2" fillId="0" borderId="5" xfId="2" applyNumberFormat="1" applyAlignment="1">
      <alignment horizontal="center" vertical="center" wrapText="1"/>
    </xf>
    <xf numFmtId="44" fontId="2" fillId="0" borderId="5" xfId="2" applyNumberFormat="1" applyAlignment="1">
      <alignment horizontal="center" vertical="center" wrapText="1"/>
    </xf>
    <xf numFmtId="44" fontId="2" fillId="0" borderId="5" xfId="2" applyNumberFormat="1"/>
    <xf numFmtId="0" fontId="6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Multilayer-Ceramic-Capacitors-MLCC-SMD-SMT_HUI-JU-NM0805B224K101CEDN_C780700.html" TargetMode="External"/><Relationship Id="rId18" Type="http://schemas.openxmlformats.org/officeDocument/2006/relationships/hyperlink" Target="https://www.heisener.com/ProductDetail/VS-30WQ04FNTR-M3" TargetMode="External"/><Relationship Id="rId26" Type="http://schemas.openxmlformats.org/officeDocument/2006/relationships/hyperlink" Target="https://lcsc.com/product-detail/Chip-Resistor-Surface-Mount_YAGEO-RC0603FR-070RL_C100044.html" TargetMode="External"/><Relationship Id="rId39" Type="http://schemas.openxmlformats.org/officeDocument/2006/relationships/hyperlink" Target="https://lcsc.com/product-detail/Slide-Switches_XKB-Connectivity-SS-3235D-03-L2_C381097.html" TargetMode="External"/><Relationship Id="rId21" Type="http://schemas.openxmlformats.org/officeDocument/2006/relationships/hyperlink" Target="https://lcsc.com/product-detail/Light-Emitting-Diodes-LED_Everlight-Elec-16-213-GHC-YR1S1-3T_C74338.html" TargetMode="External"/><Relationship Id="rId34" Type="http://schemas.openxmlformats.org/officeDocument/2006/relationships/hyperlink" Target="https://lcsc.com/product-detail/Chip-Resistor-Surface-Mount_PANASONIC-ERJ3GEYJ2R2V_C403470.html" TargetMode="External"/><Relationship Id="rId42" Type="http://schemas.openxmlformats.org/officeDocument/2006/relationships/hyperlink" Target="https://lcsc.com/product-detail/Linear-Voltage-Regulators-LDO_Texas-Instruments-LM2940SX-12-NOPB_C131916.html" TargetMode="External"/><Relationship Id="rId47" Type="http://schemas.openxmlformats.org/officeDocument/2006/relationships/hyperlink" Target="https://lcsc.com/product-detail/Ethernet-Connectors-Modular-Connectors-RJ45-RJ11_TE-Connectivity-5520425-2_C305968.html" TargetMode="External"/><Relationship Id="rId50" Type="http://schemas.openxmlformats.org/officeDocument/2006/relationships/hyperlink" Target="https://www.aliexpress.com/item/1005002822040394.html?spm=a2g0o.productlist.0.0.17061bdbRO5TB0&amp;algo_pvid=5f7d0c72-32eb-44e1-8fc5-0a9aff626b42&amp;algo_exp_id=5f7d0c72-32eb-44e1-8fc5-0a9aff626b42-1" TargetMode="External"/><Relationship Id="rId7" Type="http://schemas.openxmlformats.org/officeDocument/2006/relationships/hyperlink" Target="https://lcsc.com/product-detail/Multilayer-Ceramic-Capacitors-MLCC-SMD-SMT_Taiyo-Yuden-UMK107B7474KA-TR_C92847.html" TargetMode="External"/><Relationship Id="rId2" Type="http://schemas.openxmlformats.org/officeDocument/2006/relationships/hyperlink" Target="https://lcsc.com/product-detail/Multilayer-Ceramic-Capacitors-MLCC-SMD-SMT_Samsung-Electro-Mechanics-CL10B104KB8NNNC_C1591.html" TargetMode="External"/><Relationship Id="rId16" Type="http://schemas.openxmlformats.org/officeDocument/2006/relationships/hyperlink" Target="https://lcsc.com/product-detail/Multilayer-Ceramic-Capacitors-MLCC-SMD-SMT_Taiyo-Yuden-UMK107B7474KA-TR_C92847.html" TargetMode="External"/><Relationship Id="rId29" Type="http://schemas.openxmlformats.org/officeDocument/2006/relationships/hyperlink" Target="https://lcsc.com/product-detail/Chip-Resistor-Surface-Mount_YAGEO-RC0603FR-0747RL_C114623.html" TargetMode="External"/><Relationship Id="rId11" Type="http://schemas.openxmlformats.org/officeDocument/2006/relationships/hyperlink" Target="https://lcsc.com/product-detail/Multilayer-Ceramic-Capacitors-MLCC-SMD-SMT_Samsung-Electro-Mechanics-CL10A475KA8NQNC_C69335.html" TargetMode="External"/><Relationship Id="rId24" Type="http://schemas.openxmlformats.org/officeDocument/2006/relationships/hyperlink" Target="https://lcsc.com/product-detail/MOSFETs_Infineon-Technologies_BSC037N08NS5ATMA1_Infineon-Technologies-BSC037N08NS5ATMA1_C194555.html" TargetMode="External"/><Relationship Id="rId32" Type="http://schemas.openxmlformats.org/officeDocument/2006/relationships/hyperlink" Target="https://lcsc.com/product-detail/Chip-Resistor-Surface-Mount_PANASONIC-ERJ3EKF3011V_C278616.html" TargetMode="External"/><Relationship Id="rId37" Type="http://schemas.openxmlformats.org/officeDocument/2006/relationships/hyperlink" Target="https://lcsc.com/product-detail/Chip-Resistor-Surface-Mount_YAGEO-AC0603FR-0711K8L_C227561.html" TargetMode="External"/><Relationship Id="rId40" Type="http://schemas.openxmlformats.org/officeDocument/2006/relationships/hyperlink" Target="https://lcsc.com/product-detail/Logic-Buffers-Drivers-Receivers-Transceivers_Texas-Instruments-SN74LV1T34DBVR_C100024.html" TargetMode="External"/><Relationship Id="rId45" Type="http://schemas.openxmlformats.org/officeDocument/2006/relationships/hyperlink" Target="https://www.heisener.com/ProductDetail/MAX4236EUT-T_1A3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lcsc.com/product-detail/New-Arrivals_Ymin-VKMC1001H680MV_C487358.html" TargetMode="External"/><Relationship Id="rId10" Type="http://schemas.openxmlformats.org/officeDocument/2006/relationships/hyperlink" Target="https://lcsc.com/product-detail/Multilayer-Ceramic-Capacitors-MLCC-SMD-SMT_Murata-Electronics-GRM188R6YA225KA12D_C86017.html" TargetMode="External"/><Relationship Id="rId19" Type="http://schemas.openxmlformats.org/officeDocument/2006/relationships/hyperlink" Target="https://www.heisener.com/ProductDetail/PMEG3010ER-115" TargetMode="External"/><Relationship Id="rId31" Type="http://schemas.openxmlformats.org/officeDocument/2006/relationships/hyperlink" Target="https://lcsc.com/product-detail/Chip-Resistor-Surface-Mount_YAGEO-RC0603FR-07150RL_C114608.html" TargetMode="External"/><Relationship Id="rId44" Type="http://schemas.openxmlformats.org/officeDocument/2006/relationships/hyperlink" Target="https://lcsc.com/product-detail/Linear-Voltage-Regulators-LDO_ON-Semiconductor-NCP708MU330TAG_C183178.html" TargetMode="External"/><Relationship Id="rId52" Type="http://schemas.openxmlformats.org/officeDocument/2006/relationships/hyperlink" Target="https://www.aliexpress.com/item/1005002824489337.html?spm=a2g0o.search0304.0.0.6a786872zrYtzx&amp;aem_p4p_detail=20210709080314396911621568870006263664" TargetMode="External"/><Relationship Id="rId4" Type="http://schemas.openxmlformats.org/officeDocument/2006/relationships/hyperlink" Target="https://lcsc.com/product-detail/Aluminum-Electrolytic-Capacitors-SMD_Changzhou-Huawei-Elec-VT1H471MI135000CE0_C191227.html" TargetMode="External"/><Relationship Id="rId9" Type="http://schemas.openxmlformats.org/officeDocument/2006/relationships/hyperlink" Target="https://lcsc.com/product-detail/Multilayer-Ceramic-Capacitors-MLCC-SMD-SMT_YAGEO-CC0603KRX5R8BB105_C14664.html" TargetMode="External"/><Relationship Id="rId14" Type="http://schemas.openxmlformats.org/officeDocument/2006/relationships/hyperlink" Target="https://lcsc.com/product-detail/Multilayer-Ceramic-Capacitors-MLCC-SMD-SMT_Taiyo-Yuden-GMK212BJ224KGHT_C524973.html" TargetMode="External"/><Relationship Id="rId22" Type="http://schemas.openxmlformats.org/officeDocument/2006/relationships/hyperlink" Target="https://www.heisener.com/ProductDetail/0685H9150-01" TargetMode="External"/><Relationship Id="rId27" Type="http://schemas.openxmlformats.org/officeDocument/2006/relationships/hyperlink" Target="https://lcsc.com/product-detail/Chip-Resistor-Surface-Mount_YAGEO-RC0603FR-0710K5L_C137808.html" TargetMode="External"/><Relationship Id="rId30" Type="http://schemas.openxmlformats.org/officeDocument/2006/relationships/hyperlink" Target="https://lcsc.com/product-detail/Current-Sense-Resistors-Shunt-Resistors_Ever-Ohms-Tech-CRH2512FR033E04Z_C176032.html" TargetMode="External"/><Relationship Id="rId35" Type="http://schemas.openxmlformats.org/officeDocument/2006/relationships/hyperlink" Target="https://lcsc.com/product-detail/Chip-Resistor-Surface-Mount_YAGEO-RC0603FR-0712K4L_C137798.html" TargetMode="External"/><Relationship Id="rId43" Type="http://schemas.openxmlformats.org/officeDocument/2006/relationships/hyperlink" Target="https://www.heisener.com/ProductDetail/AP2210N-5-0TRG1" TargetMode="External"/><Relationship Id="rId48" Type="http://schemas.openxmlformats.org/officeDocument/2006/relationships/hyperlink" Target="https://www.onlinecomponents.com/en/sparkfun-electronics/prt10474-55170162.html?utm_source=digipart&amp;utm_medium=referral&amp;ref=digipartFeed&amp;utm_term=PRT-10474" TargetMode="External"/><Relationship Id="rId8" Type="http://schemas.openxmlformats.org/officeDocument/2006/relationships/hyperlink" Target="https://lcsc.com/product-detail/Multilayer-Ceramic-Capacitors-MLCC-SMD-SMT_TDK-C2012X5R1V226MT000E_C338080.html" TargetMode="External"/><Relationship Id="rId51" Type="http://schemas.openxmlformats.org/officeDocument/2006/relationships/hyperlink" Target="https://www.aliexpress.com/item/1005001704151316.html?spm=a2g0o.productlist.0.0.76721089q7c38i&amp;algo_pvid=074256b0-7137-4146-bd0f-e2cc6c30b624&amp;algo_exp_id=074256b0-7137-4146-bd0f-e2cc6c30b624-1" TargetMode="External"/><Relationship Id="rId3" Type="http://schemas.openxmlformats.org/officeDocument/2006/relationships/hyperlink" Target="https://lcsc.com/product-detail/Multilayer-Ceramic-Capacitors-MLCC-SMD-SMT_IHHEC-HOLY-STONE-ENTERPRISE-CO-LTD-C0805X105K101T_C105952.html" TargetMode="External"/><Relationship Id="rId12" Type="http://schemas.openxmlformats.org/officeDocument/2006/relationships/hyperlink" Target="https://lcsc.com/product-detail/Multilayer-Ceramic-Capacitors-MLCC-SMD-SMT_Samsung-Electro-Mechanics-CL10B103KC8NNNC_C84709.html" TargetMode="External"/><Relationship Id="rId17" Type="http://schemas.openxmlformats.org/officeDocument/2006/relationships/hyperlink" Target="https://lcsc.com/product-detail/Multilayer-Ceramic-Capacitors-MLCC-SMD-SMT_Samsung-Electro-Mechanics-CL10B102KC8NNNC_C153291.html" TargetMode="External"/><Relationship Id="rId25" Type="http://schemas.openxmlformats.org/officeDocument/2006/relationships/hyperlink" Target="https://lcsc.com/product-detail/Chip-Resistor-Surface-Mount_YAGEO-RC0603JR-075K1L_C14677.html" TargetMode="External"/><Relationship Id="rId33" Type="http://schemas.openxmlformats.org/officeDocument/2006/relationships/hyperlink" Target="https://lcsc.com/product-detail/Chip-Resistor-Surface-Mount_YAGEO-RC0603FR-0711KL_C137801.html" TargetMode="External"/><Relationship Id="rId38" Type="http://schemas.openxmlformats.org/officeDocument/2006/relationships/hyperlink" Target="https://lcsc.com/product-detail/Chip-Resistor-Surface-Mount_YAGEO-RC0603FR-07105KL_C141685.html" TargetMode="External"/><Relationship Id="rId46" Type="http://schemas.openxmlformats.org/officeDocument/2006/relationships/hyperlink" Target="https://lcsc.com/product-detail/USB-Connectors_SOFNG-MC-318_C183608.html" TargetMode="External"/><Relationship Id="rId20" Type="http://schemas.openxmlformats.org/officeDocument/2006/relationships/hyperlink" Target="https://lcsc.com/product-detail/Light-Emitting-Diodes-LED_Worldsemi-WS2812B-Mini_C527089.html" TargetMode="External"/><Relationship Id="rId41" Type="http://schemas.openxmlformats.org/officeDocument/2006/relationships/hyperlink" Target="https://lcsc.com/product-detail/DC-DC-Converters_XLSEMI-XL1509-ADJE1_C74192.html" TargetMode="External"/><Relationship Id="rId1" Type="http://schemas.openxmlformats.org/officeDocument/2006/relationships/hyperlink" Target="https://lcsc.com/product-detail/Aluminum-Electrolytic-Capacitors-SMD_Ymin-VKME1451J221MV_C487391.html" TargetMode="External"/><Relationship Id="rId6" Type="http://schemas.openxmlformats.org/officeDocument/2006/relationships/hyperlink" Target="https://lcsc.com/product-detail/Multilayer-Ceramic-Capacitors-MLCC-SMD-SMT_YAGEO-CC0603KRX7R9BB681_C107096.html" TargetMode="External"/><Relationship Id="rId15" Type="http://schemas.openxmlformats.org/officeDocument/2006/relationships/hyperlink" Target="https://www.heisener.com/ProductDetail/CGA3E2X7R2A223K080AA" TargetMode="External"/><Relationship Id="rId23" Type="http://schemas.openxmlformats.org/officeDocument/2006/relationships/hyperlink" Target="https://lcsc.com/product-detail/Power-Inductors_TDK-SPM10054T-680M-HZ_C404841.html" TargetMode="External"/><Relationship Id="rId28" Type="http://schemas.openxmlformats.org/officeDocument/2006/relationships/hyperlink" Target="https://lcsc.com/product-detail/Chip-Resistor-Surface-Mount_YAGEO-RC0603JR-071KL_C14676.html" TargetMode="External"/><Relationship Id="rId36" Type="http://schemas.openxmlformats.org/officeDocument/2006/relationships/hyperlink" Target="https://lcsc.com/product-detail/Chip-Resistor-Surface-Mount_PANASONIC-ERJ3EKF1430V_C400649.html" TargetMode="External"/><Relationship Id="rId49" Type="http://schemas.openxmlformats.org/officeDocument/2006/relationships/hyperlink" Target="https://www.aliexpress.com/item/4000133802690.html?spm=a2g0o.productlist.0.0.7aae3857XQ880d&amp;algo_pvid=e1ff1e25-306c-439d-99c1-57515af0e1ad&amp;algo_exp_id=e1ff1e25-306c-439d-99c1-57515af0e1ad-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topLeftCell="D44" workbookViewId="0">
      <selection activeCell="E52" sqref="E52"/>
    </sheetView>
  </sheetViews>
  <sheetFormatPr defaultRowHeight="15" x14ac:dyDescent="0.25"/>
  <cols>
    <col min="1" max="1" width="6.140625" bestFit="1" customWidth="1"/>
    <col min="2" max="2" width="12.28515625" bestFit="1" customWidth="1"/>
    <col min="3" max="3" width="46.28515625" customWidth="1"/>
    <col min="4" max="4" width="14.42578125" customWidth="1"/>
    <col min="5" max="5" width="22.7109375" bestFit="1" customWidth="1"/>
    <col min="6" max="7" width="28.5703125" bestFit="1" customWidth="1"/>
    <col min="8" max="8" width="20.85546875" customWidth="1"/>
    <col min="9" max="9" width="21.28515625" customWidth="1"/>
    <col min="10" max="11" width="16.42578125" customWidth="1"/>
    <col min="12" max="12" width="19.42578125" bestFit="1" customWidth="1"/>
    <col min="13" max="13" width="18" customWidth="1"/>
    <col min="14" max="14" width="16.140625" customWidth="1"/>
    <col min="15" max="15" width="15.140625" customWidth="1"/>
    <col min="16" max="16" width="16" customWidth="1"/>
    <col min="17" max="17" width="19.5703125" customWidth="1"/>
    <col min="18" max="18" width="17.85546875" customWidth="1"/>
    <col min="19" max="19" width="30.85546875" customWidth="1"/>
  </cols>
  <sheetData>
    <row r="1" spans="1:19" ht="15.75" x14ac:dyDescent="0.25">
      <c r="A1" s="32" t="s">
        <v>206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4"/>
    </row>
    <row r="2" spans="1:19" x14ac:dyDescent="0.25">
      <c r="A2" s="6" t="s">
        <v>207</v>
      </c>
      <c r="B2" s="6" t="s">
        <v>208</v>
      </c>
      <c r="C2" s="6" t="s">
        <v>0</v>
      </c>
      <c r="D2" s="6" t="s">
        <v>1</v>
      </c>
      <c r="E2" s="6" t="s">
        <v>209</v>
      </c>
      <c r="F2" s="6" t="s">
        <v>2</v>
      </c>
      <c r="G2" s="6" t="s">
        <v>210</v>
      </c>
      <c r="H2" s="6" t="s">
        <v>264</v>
      </c>
      <c r="I2" s="6" t="s">
        <v>211</v>
      </c>
      <c r="J2" s="6" t="s">
        <v>212</v>
      </c>
      <c r="K2" s="6" t="s">
        <v>263</v>
      </c>
      <c r="L2" s="6" t="s">
        <v>213</v>
      </c>
      <c r="M2" s="6" t="s">
        <v>214</v>
      </c>
      <c r="N2" s="6" t="s">
        <v>215</v>
      </c>
      <c r="O2" s="6" t="s">
        <v>216</v>
      </c>
      <c r="P2" s="6" t="s">
        <v>217</v>
      </c>
      <c r="Q2" s="7" t="s">
        <v>218</v>
      </c>
      <c r="R2" s="6" t="s">
        <v>219</v>
      </c>
      <c r="S2" s="6" t="s">
        <v>251</v>
      </c>
    </row>
    <row r="3" spans="1:19" ht="38.25" x14ac:dyDescent="0.25">
      <c r="A3" s="8">
        <v>1</v>
      </c>
      <c r="B3" s="35" t="s">
        <v>220</v>
      </c>
      <c r="C3" s="9" t="s">
        <v>4</v>
      </c>
      <c r="D3" s="9" t="s">
        <v>5</v>
      </c>
      <c r="E3" s="9" t="s">
        <v>6</v>
      </c>
      <c r="F3" s="9" t="s">
        <v>6</v>
      </c>
      <c r="G3" s="9" t="s">
        <v>238</v>
      </c>
      <c r="H3" s="9" t="s">
        <v>265</v>
      </c>
      <c r="I3" s="20"/>
      <c r="J3" s="9" t="s">
        <v>3</v>
      </c>
      <c r="K3" s="9">
        <v>1</v>
      </c>
      <c r="L3" s="10">
        <v>2</v>
      </c>
      <c r="M3" s="5">
        <f>L3*5</f>
        <v>10</v>
      </c>
      <c r="N3" s="15" t="s">
        <v>262</v>
      </c>
      <c r="O3" s="11">
        <v>0.24909999999999999</v>
      </c>
      <c r="P3" s="12">
        <f>O3*L3</f>
        <v>0.49819999999999998</v>
      </c>
      <c r="Q3" s="11">
        <v>0.19189999999999999</v>
      </c>
      <c r="R3" s="12">
        <f>Q3*M3</f>
        <v>1.9189999999999998</v>
      </c>
      <c r="S3" s="5"/>
    </row>
    <row r="4" spans="1:19" ht="38.25" x14ac:dyDescent="0.25">
      <c r="A4" s="8">
        <f>A3+1</f>
        <v>2</v>
      </c>
      <c r="B4" s="35"/>
      <c r="C4" s="9" t="s">
        <v>8</v>
      </c>
      <c r="D4" s="9" t="s">
        <v>9</v>
      </c>
      <c r="E4" s="9" t="s">
        <v>10</v>
      </c>
      <c r="F4" s="9" t="s">
        <v>11</v>
      </c>
      <c r="G4" s="9" t="s">
        <v>239</v>
      </c>
      <c r="H4" s="9" t="s">
        <v>266</v>
      </c>
      <c r="I4" s="21"/>
      <c r="J4" s="9" t="s">
        <v>7</v>
      </c>
      <c r="K4" s="9">
        <v>50</v>
      </c>
      <c r="L4" s="10">
        <v>8</v>
      </c>
      <c r="M4" s="5">
        <f t="shared" ref="M4:M57" si="0">L4*5</f>
        <v>40</v>
      </c>
      <c r="N4" s="15" t="s">
        <v>262</v>
      </c>
      <c r="O4" s="11">
        <v>4.0000000000000001E-3</v>
      </c>
      <c r="P4" s="12">
        <f>O4*K4</f>
        <v>0.2</v>
      </c>
      <c r="Q4" s="11">
        <v>4.0000000000000001E-3</v>
      </c>
      <c r="R4" s="12">
        <f>Q4*K4</f>
        <v>0.2</v>
      </c>
      <c r="S4" s="5"/>
    </row>
    <row r="5" spans="1:19" ht="25.5" x14ac:dyDescent="0.25">
      <c r="A5" s="8">
        <f t="shared" ref="A5:A56" si="1">A4+1</f>
        <v>3</v>
      </c>
      <c r="B5" s="35"/>
      <c r="C5" s="9" t="s">
        <v>13</v>
      </c>
      <c r="D5" s="9" t="s">
        <v>14</v>
      </c>
      <c r="E5" s="9" t="s">
        <v>15</v>
      </c>
      <c r="F5" s="9" t="s">
        <v>16</v>
      </c>
      <c r="G5" s="9" t="s">
        <v>240</v>
      </c>
      <c r="H5" s="9" t="s">
        <v>268</v>
      </c>
      <c r="I5" s="21" t="s">
        <v>269</v>
      </c>
      <c r="J5" s="9" t="s">
        <v>12</v>
      </c>
      <c r="K5" s="9">
        <v>5</v>
      </c>
      <c r="L5" s="10">
        <v>1</v>
      </c>
      <c r="M5" s="5">
        <f t="shared" si="0"/>
        <v>5</v>
      </c>
      <c r="N5" s="15" t="s">
        <v>262</v>
      </c>
      <c r="O5" s="11">
        <v>9.8400000000000001E-2</v>
      </c>
      <c r="P5" s="12">
        <f>O5*K5</f>
        <v>0.49199999999999999</v>
      </c>
      <c r="Q5" s="11">
        <v>9.8400000000000001E-2</v>
      </c>
      <c r="R5" s="12">
        <f>Q5*M5</f>
        <v>0.49199999999999999</v>
      </c>
      <c r="S5" s="5" t="s">
        <v>267</v>
      </c>
    </row>
    <row r="6" spans="1:19" ht="38.25" x14ac:dyDescent="0.25">
      <c r="A6" s="8">
        <f t="shared" si="1"/>
        <v>4</v>
      </c>
      <c r="B6" s="35"/>
      <c r="C6" s="9" t="s">
        <v>18</v>
      </c>
      <c r="D6" s="9" t="s">
        <v>19</v>
      </c>
      <c r="E6" s="9" t="s">
        <v>20</v>
      </c>
      <c r="F6" s="9" t="s">
        <v>20</v>
      </c>
      <c r="G6" s="9" t="s">
        <v>241</v>
      </c>
      <c r="H6" s="9" t="s">
        <v>270</v>
      </c>
      <c r="I6" s="20"/>
      <c r="J6" s="9" t="s">
        <v>17</v>
      </c>
      <c r="K6" s="9">
        <v>1</v>
      </c>
      <c r="L6" s="10">
        <v>1</v>
      </c>
      <c r="M6" s="5">
        <f t="shared" si="0"/>
        <v>5</v>
      </c>
      <c r="N6" s="15" t="s">
        <v>262</v>
      </c>
      <c r="O6" s="11">
        <v>0.4869</v>
      </c>
      <c r="P6" s="12">
        <f>O6*L6</f>
        <v>0.4869</v>
      </c>
      <c r="Q6" s="11">
        <v>0.4869</v>
      </c>
      <c r="R6" s="12">
        <f t="shared" ref="R6:R54" si="2">Q6*M6</f>
        <v>2.4344999999999999</v>
      </c>
      <c r="S6" s="5"/>
    </row>
    <row r="7" spans="1:19" ht="25.5" x14ac:dyDescent="0.25">
      <c r="A7" s="8">
        <f t="shared" si="1"/>
        <v>5</v>
      </c>
      <c r="B7" s="35"/>
      <c r="C7" s="9" t="s">
        <v>22</v>
      </c>
      <c r="D7" s="9" t="s">
        <v>23</v>
      </c>
      <c r="E7" s="9" t="s">
        <v>24</v>
      </c>
      <c r="F7" s="9" t="s">
        <v>24</v>
      </c>
      <c r="G7" s="9" t="s">
        <v>238</v>
      </c>
      <c r="H7" s="9" t="s">
        <v>271</v>
      </c>
      <c r="I7" s="20"/>
      <c r="J7" s="9" t="s">
        <v>21</v>
      </c>
      <c r="K7" s="9">
        <v>10</v>
      </c>
      <c r="L7" s="10">
        <v>1</v>
      </c>
      <c r="M7" s="5">
        <f t="shared" si="0"/>
        <v>5</v>
      </c>
      <c r="N7" s="15" t="s">
        <v>262</v>
      </c>
      <c r="O7" s="11">
        <v>7.1099999999999997E-2</v>
      </c>
      <c r="P7" s="12">
        <f>O7*K7</f>
        <v>0.71099999999999997</v>
      </c>
      <c r="Q7" s="11">
        <v>7.1099999999999997E-2</v>
      </c>
      <c r="R7" s="12">
        <f>Q7*K7</f>
        <v>0.71099999999999997</v>
      </c>
      <c r="S7" s="5"/>
    </row>
    <row r="8" spans="1:19" x14ac:dyDescent="0.25">
      <c r="A8" s="8">
        <f t="shared" si="1"/>
        <v>6</v>
      </c>
      <c r="B8" s="35"/>
      <c r="C8" s="9" t="s">
        <v>26</v>
      </c>
      <c r="D8" s="9" t="s">
        <v>27</v>
      </c>
      <c r="E8" s="9" t="s">
        <v>10</v>
      </c>
      <c r="F8" s="9" t="s">
        <v>28</v>
      </c>
      <c r="G8" s="9" t="s">
        <v>230</v>
      </c>
      <c r="H8" s="9" t="s">
        <v>272</v>
      </c>
      <c r="I8" s="20"/>
      <c r="J8" s="9" t="s">
        <v>25</v>
      </c>
      <c r="K8" s="9">
        <v>50</v>
      </c>
      <c r="L8" s="10">
        <v>1</v>
      </c>
      <c r="M8" s="5">
        <f t="shared" si="0"/>
        <v>5</v>
      </c>
      <c r="N8" s="15" t="s">
        <v>262</v>
      </c>
      <c r="O8" s="11">
        <v>5.3E-3</v>
      </c>
      <c r="P8" s="12">
        <f>O8*K8</f>
        <v>0.26500000000000001</v>
      </c>
      <c r="Q8" s="11">
        <v>5.3E-3</v>
      </c>
      <c r="R8" s="12">
        <f>Q8*K8</f>
        <v>0.26500000000000001</v>
      </c>
      <c r="S8" s="5"/>
    </row>
    <row r="9" spans="1:19" x14ac:dyDescent="0.25">
      <c r="A9" s="8">
        <f t="shared" si="1"/>
        <v>7</v>
      </c>
      <c r="B9" s="35"/>
      <c r="C9" s="9" t="s">
        <v>30</v>
      </c>
      <c r="D9" s="9" t="s">
        <v>31</v>
      </c>
      <c r="E9" s="9" t="s">
        <v>32</v>
      </c>
      <c r="F9" s="9" t="s">
        <v>33</v>
      </c>
      <c r="G9" s="9" t="s">
        <v>242</v>
      </c>
      <c r="H9" s="9" t="s">
        <v>273</v>
      </c>
      <c r="I9" s="21"/>
      <c r="J9" s="9" t="s">
        <v>29</v>
      </c>
      <c r="K9" s="9">
        <v>20</v>
      </c>
      <c r="L9" s="10">
        <v>1</v>
      </c>
      <c r="M9" s="5">
        <f t="shared" si="0"/>
        <v>5</v>
      </c>
      <c r="N9" s="15" t="s">
        <v>262</v>
      </c>
      <c r="O9" s="11">
        <v>3.27E-2</v>
      </c>
      <c r="P9" s="12">
        <f>O9*K9</f>
        <v>0.65400000000000003</v>
      </c>
      <c r="Q9" s="11">
        <v>3.27E-2</v>
      </c>
      <c r="R9" s="12">
        <f>Q9*K9</f>
        <v>0.65400000000000003</v>
      </c>
      <c r="S9" s="5"/>
    </row>
    <row r="10" spans="1:19" ht="25.5" x14ac:dyDescent="0.25">
      <c r="A10" s="8">
        <f t="shared" si="1"/>
        <v>8</v>
      </c>
      <c r="B10" s="35"/>
      <c r="C10" s="9" t="s">
        <v>35</v>
      </c>
      <c r="D10" s="9" t="s">
        <v>36</v>
      </c>
      <c r="E10" s="9" t="s">
        <v>15</v>
      </c>
      <c r="F10" s="9" t="s">
        <v>37</v>
      </c>
      <c r="G10" s="9" t="s">
        <v>240</v>
      </c>
      <c r="H10" s="9" t="s">
        <v>274</v>
      </c>
      <c r="I10" s="21"/>
      <c r="J10" s="9" t="s">
        <v>34</v>
      </c>
      <c r="K10" s="9">
        <v>1</v>
      </c>
      <c r="L10" s="10">
        <v>1</v>
      </c>
      <c r="M10" s="5">
        <f t="shared" si="0"/>
        <v>5</v>
      </c>
      <c r="N10" s="15" t="s">
        <v>262</v>
      </c>
      <c r="O10" s="11">
        <v>0.30170000000000002</v>
      </c>
      <c r="P10" s="12">
        <f t="shared" ref="P10:P54" si="3">O10*L10</f>
        <v>0.30170000000000002</v>
      </c>
      <c r="Q10" s="11">
        <v>0.30170000000000002</v>
      </c>
      <c r="R10" s="12">
        <f t="shared" si="2"/>
        <v>1.5085000000000002</v>
      </c>
      <c r="S10" s="5"/>
    </row>
    <row r="11" spans="1:19" ht="25.5" x14ac:dyDescent="0.25">
      <c r="A11" s="8">
        <f t="shared" si="1"/>
        <v>9</v>
      </c>
      <c r="B11" s="35"/>
      <c r="C11" s="9" t="s">
        <v>38</v>
      </c>
      <c r="D11" s="9" t="s">
        <v>39</v>
      </c>
      <c r="E11" s="9" t="s">
        <v>32</v>
      </c>
      <c r="F11" s="9" t="s">
        <v>40</v>
      </c>
      <c r="G11" s="9" t="s">
        <v>230</v>
      </c>
      <c r="H11" s="9" t="s">
        <v>275</v>
      </c>
      <c r="I11" s="20"/>
      <c r="J11" s="9" t="s">
        <v>12</v>
      </c>
      <c r="K11" s="9">
        <v>50</v>
      </c>
      <c r="L11" s="10">
        <v>1</v>
      </c>
      <c r="M11" s="5">
        <f t="shared" si="0"/>
        <v>5</v>
      </c>
      <c r="N11" s="15" t="s">
        <v>262</v>
      </c>
      <c r="O11" s="11">
        <v>1.2200000000000001E-2</v>
      </c>
      <c r="P11" s="12">
        <f t="shared" ref="P11:P16" si="4">O11*K11</f>
        <v>0.61</v>
      </c>
      <c r="Q11" s="11">
        <v>1.2200000000000001E-2</v>
      </c>
      <c r="R11" s="12">
        <f>Q11*K11</f>
        <v>0.61</v>
      </c>
      <c r="S11" s="5"/>
    </row>
    <row r="12" spans="1:19" ht="25.5" x14ac:dyDescent="0.25">
      <c r="A12" s="8">
        <f t="shared" si="1"/>
        <v>10</v>
      </c>
      <c r="B12" s="35"/>
      <c r="C12" s="9" t="s">
        <v>42</v>
      </c>
      <c r="D12" s="9" t="s">
        <v>43</v>
      </c>
      <c r="E12" s="9" t="s">
        <v>32</v>
      </c>
      <c r="F12" s="9" t="s">
        <v>44</v>
      </c>
      <c r="G12" s="9" t="s">
        <v>243</v>
      </c>
      <c r="H12" s="9" t="s">
        <v>276</v>
      </c>
      <c r="I12" s="21"/>
      <c r="J12" s="9" t="s">
        <v>41</v>
      </c>
      <c r="K12" s="9">
        <v>10</v>
      </c>
      <c r="L12" s="10">
        <v>5</v>
      </c>
      <c r="M12" s="5">
        <f t="shared" si="0"/>
        <v>25</v>
      </c>
      <c r="N12" s="15" t="s">
        <v>262</v>
      </c>
      <c r="O12" s="11">
        <v>3.9300000000000002E-2</v>
      </c>
      <c r="P12" s="12">
        <f t="shared" si="4"/>
        <v>0.39300000000000002</v>
      </c>
      <c r="Q12" s="11">
        <v>3.9300000000000002E-2</v>
      </c>
      <c r="R12" s="12">
        <f>Q12*30</f>
        <v>1.179</v>
      </c>
      <c r="S12" s="5"/>
    </row>
    <row r="13" spans="1:19" x14ac:dyDescent="0.25">
      <c r="A13" s="8">
        <f t="shared" si="1"/>
        <v>11</v>
      </c>
      <c r="B13" s="35"/>
      <c r="C13" s="9" t="s">
        <v>46</v>
      </c>
      <c r="D13" s="9" t="s">
        <v>47</v>
      </c>
      <c r="E13" s="9" t="s">
        <v>10</v>
      </c>
      <c r="F13" s="9" t="s">
        <v>48</v>
      </c>
      <c r="G13" s="9" t="s">
        <v>239</v>
      </c>
      <c r="H13" s="9" t="s">
        <v>277</v>
      </c>
      <c r="I13" s="21"/>
      <c r="J13" s="9" t="s">
        <v>45</v>
      </c>
      <c r="K13" s="9">
        <v>20</v>
      </c>
      <c r="L13" s="10">
        <v>2</v>
      </c>
      <c r="M13" s="5">
        <f t="shared" si="0"/>
        <v>10</v>
      </c>
      <c r="N13" s="15" t="s">
        <v>262</v>
      </c>
      <c r="O13" s="11">
        <v>2.5899999999999999E-2</v>
      </c>
      <c r="P13" s="12">
        <f t="shared" si="4"/>
        <v>0.51800000000000002</v>
      </c>
      <c r="Q13" s="11">
        <v>2.5899999999999999E-2</v>
      </c>
      <c r="R13" s="12">
        <f>Q13*K13</f>
        <v>0.51800000000000002</v>
      </c>
      <c r="S13" s="5"/>
    </row>
    <row r="14" spans="1:19" x14ac:dyDescent="0.25">
      <c r="A14" s="8">
        <f t="shared" si="1"/>
        <v>12</v>
      </c>
      <c r="B14" s="35"/>
      <c r="C14" s="9" t="s">
        <v>49</v>
      </c>
      <c r="D14" s="9" t="s">
        <v>50</v>
      </c>
      <c r="E14" s="9" t="s">
        <v>32</v>
      </c>
      <c r="F14" s="9" t="s">
        <v>51</v>
      </c>
      <c r="G14" s="9" t="s">
        <v>239</v>
      </c>
      <c r="H14" s="9" t="s">
        <v>278</v>
      </c>
      <c r="I14" s="22"/>
      <c r="J14" s="9" t="s">
        <v>7</v>
      </c>
      <c r="K14" s="9">
        <v>50</v>
      </c>
      <c r="L14" s="10">
        <v>2</v>
      </c>
      <c r="M14" s="5">
        <f t="shared" si="0"/>
        <v>10</v>
      </c>
      <c r="N14" s="15" t="s">
        <v>262</v>
      </c>
      <c r="O14" s="11">
        <v>7.4999999999999997E-3</v>
      </c>
      <c r="P14" s="12">
        <f t="shared" si="4"/>
        <v>0.375</v>
      </c>
      <c r="Q14" s="11">
        <v>7.4999999999999997E-3</v>
      </c>
      <c r="R14" s="12">
        <f>Q14*K14</f>
        <v>0.375</v>
      </c>
      <c r="S14" s="5"/>
    </row>
    <row r="15" spans="1:19" ht="25.5" x14ac:dyDescent="0.25">
      <c r="A15" s="8">
        <f t="shared" si="1"/>
        <v>13</v>
      </c>
      <c r="B15" s="35"/>
      <c r="C15" s="9" t="s">
        <v>279</v>
      </c>
      <c r="D15" s="9" t="s">
        <v>260</v>
      </c>
      <c r="E15" s="9" t="s">
        <v>15</v>
      </c>
      <c r="F15" s="9" t="s">
        <v>280</v>
      </c>
      <c r="G15" s="9" t="s">
        <v>244</v>
      </c>
      <c r="H15" s="9" t="s">
        <v>282</v>
      </c>
      <c r="I15" s="2" t="s">
        <v>283</v>
      </c>
      <c r="J15" s="9" t="s">
        <v>52</v>
      </c>
      <c r="K15" s="9">
        <v>20</v>
      </c>
      <c r="L15" s="10">
        <v>4</v>
      </c>
      <c r="M15" s="5">
        <f t="shared" si="0"/>
        <v>20</v>
      </c>
      <c r="N15" s="15" t="s">
        <v>262</v>
      </c>
      <c r="O15" s="11">
        <v>1.9300000000000001E-2</v>
      </c>
      <c r="P15" s="12">
        <f t="shared" si="4"/>
        <v>0.38600000000000001</v>
      </c>
      <c r="Q15" s="11">
        <v>1.9300000000000001E-2</v>
      </c>
      <c r="R15" s="12">
        <f t="shared" si="2"/>
        <v>0.38600000000000001</v>
      </c>
      <c r="S15" s="13"/>
    </row>
    <row r="16" spans="1:19" x14ac:dyDescent="0.25">
      <c r="A16" s="8">
        <f>A15+1</f>
        <v>14</v>
      </c>
      <c r="B16" s="35"/>
      <c r="C16" s="2" t="s">
        <v>256</v>
      </c>
      <c r="D16" s="2" t="s">
        <v>257</v>
      </c>
      <c r="E16" s="2" t="s">
        <v>258</v>
      </c>
      <c r="F16" s="2" t="s">
        <v>259</v>
      </c>
      <c r="G16" s="2" t="s">
        <v>242</v>
      </c>
      <c r="H16" s="2" t="s">
        <v>281</v>
      </c>
      <c r="I16" s="23"/>
      <c r="J16" s="2" t="s">
        <v>52</v>
      </c>
      <c r="K16" s="2">
        <v>10</v>
      </c>
      <c r="L16" s="3">
        <v>4</v>
      </c>
      <c r="M16" s="1">
        <f t="shared" si="0"/>
        <v>20</v>
      </c>
      <c r="N16" s="15" t="s">
        <v>262</v>
      </c>
      <c r="O16" s="4">
        <v>4.9399999999999999E-2</v>
      </c>
      <c r="P16" s="12">
        <f t="shared" si="4"/>
        <v>0.49399999999999999</v>
      </c>
      <c r="Q16" s="4">
        <v>4.9399999999999999E-2</v>
      </c>
      <c r="R16" s="12">
        <f t="shared" si="2"/>
        <v>0.98799999999999999</v>
      </c>
      <c r="S16" s="5"/>
    </row>
    <row r="17" spans="1:19" x14ac:dyDescent="0.25">
      <c r="A17" s="8">
        <f t="shared" si="1"/>
        <v>15</v>
      </c>
      <c r="B17" s="35"/>
      <c r="C17" s="9" t="s">
        <v>54</v>
      </c>
      <c r="D17" s="9" t="s">
        <v>55</v>
      </c>
      <c r="E17" s="9" t="s">
        <v>32</v>
      </c>
      <c r="F17" s="9" t="s">
        <v>56</v>
      </c>
      <c r="G17" s="9" t="s">
        <v>240</v>
      </c>
      <c r="H17" s="9" t="s">
        <v>285</v>
      </c>
      <c r="I17" s="20"/>
      <c r="J17" s="9" t="s">
        <v>53</v>
      </c>
      <c r="K17" s="9">
        <v>1</v>
      </c>
      <c r="L17" s="10">
        <v>1</v>
      </c>
      <c r="M17" s="5">
        <f t="shared" si="0"/>
        <v>5</v>
      </c>
      <c r="N17" s="15" t="s">
        <v>284</v>
      </c>
      <c r="O17" s="11">
        <v>0.1</v>
      </c>
      <c r="P17" s="12">
        <f t="shared" si="3"/>
        <v>0.1</v>
      </c>
      <c r="Q17" s="11">
        <v>0.1</v>
      </c>
      <c r="R17" s="12">
        <f t="shared" si="2"/>
        <v>0.5</v>
      </c>
      <c r="S17" s="5"/>
    </row>
    <row r="18" spans="1:19" x14ac:dyDescent="0.25">
      <c r="A18" s="8">
        <f t="shared" si="1"/>
        <v>16</v>
      </c>
      <c r="B18" s="35"/>
      <c r="C18" s="9" t="s">
        <v>30</v>
      </c>
      <c r="D18" s="9" t="s">
        <v>58</v>
      </c>
      <c r="E18" s="9" t="s">
        <v>32</v>
      </c>
      <c r="F18" s="9" t="s">
        <v>33</v>
      </c>
      <c r="G18" s="9" t="s">
        <v>242</v>
      </c>
      <c r="H18" s="9" t="s">
        <v>273</v>
      </c>
      <c r="I18" s="20"/>
      <c r="J18" s="9" t="s">
        <v>57</v>
      </c>
      <c r="K18" s="9">
        <v>20</v>
      </c>
      <c r="L18" s="10">
        <v>1</v>
      </c>
      <c r="M18" s="5">
        <f t="shared" si="0"/>
        <v>5</v>
      </c>
      <c r="N18" s="15" t="s">
        <v>262</v>
      </c>
      <c r="O18" s="11">
        <v>3.27E-2</v>
      </c>
      <c r="P18" s="12">
        <f>O18*K18</f>
        <v>0.65400000000000003</v>
      </c>
      <c r="Q18" s="31">
        <v>3.27E-2</v>
      </c>
      <c r="R18" s="12">
        <f>Q18*K18</f>
        <v>0.65400000000000003</v>
      </c>
      <c r="S18" s="13"/>
    </row>
    <row r="19" spans="1:19" ht="25.5" x14ac:dyDescent="0.25">
      <c r="A19" s="8">
        <f t="shared" si="1"/>
        <v>17</v>
      </c>
      <c r="B19" s="36" t="s">
        <v>221</v>
      </c>
      <c r="C19" s="9" t="s">
        <v>60</v>
      </c>
      <c r="D19" s="9" t="s">
        <v>61</v>
      </c>
      <c r="E19" s="9" t="s">
        <v>62</v>
      </c>
      <c r="F19" s="9" t="s">
        <v>63</v>
      </c>
      <c r="G19" s="9" t="s">
        <v>242</v>
      </c>
      <c r="H19" s="9" t="s">
        <v>286</v>
      </c>
      <c r="I19" s="22"/>
      <c r="J19" s="9" t="s">
        <v>59</v>
      </c>
      <c r="K19" s="9">
        <v>50</v>
      </c>
      <c r="L19" s="10">
        <v>4</v>
      </c>
      <c r="M19" s="5">
        <f t="shared" si="0"/>
        <v>20</v>
      </c>
      <c r="N19" s="15" t="s">
        <v>262</v>
      </c>
      <c r="O19" s="11">
        <v>4.7000000000000002E-3</v>
      </c>
      <c r="P19" s="12">
        <f>O19*K19</f>
        <v>0.23500000000000001</v>
      </c>
      <c r="Q19" s="11">
        <v>4.7000000000000002E-3</v>
      </c>
      <c r="R19" s="12">
        <f>Q19*K19</f>
        <v>0.23500000000000001</v>
      </c>
      <c r="S19" s="5"/>
    </row>
    <row r="20" spans="1:19" ht="25.5" x14ac:dyDescent="0.25">
      <c r="A20" s="8">
        <f t="shared" si="1"/>
        <v>18</v>
      </c>
      <c r="B20" s="37"/>
      <c r="C20" s="9" t="s">
        <v>65</v>
      </c>
      <c r="D20" s="9" t="s">
        <v>66</v>
      </c>
      <c r="E20" s="9" t="s">
        <v>64</v>
      </c>
      <c r="F20" s="9" t="s">
        <v>64</v>
      </c>
      <c r="G20" s="9" t="s">
        <v>239</v>
      </c>
      <c r="H20" s="9" t="s">
        <v>287</v>
      </c>
      <c r="I20" s="22"/>
      <c r="J20" s="9" t="s">
        <v>64</v>
      </c>
      <c r="K20" s="9">
        <v>1</v>
      </c>
      <c r="L20" s="10">
        <v>1</v>
      </c>
      <c r="M20" s="5">
        <f t="shared" si="0"/>
        <v>5</v>
      </c>
      <c r="N20" s="15" t="s">
        <v>284</v>
      </c>
      <c r="O20" s="4">
        <v>0.66</v>
      </c>
      <c r="P20" s="12">
        <f t="shared" si="3"/>
        <v>0.66</v>
      </c>
      <c r="Q20" s="4">
        <v>0.66</v>
      </c>
      <c r="R20" s="12">
        <f t="shared" si="2"/>
        <v>3.3000000000000003</v>
      </c>
      <c r="S20" s="13"/>
    </row>
    <row r="21" spans="1:19" ht="25.5" x14ac:dyDescent="0.25">
      <c r="A21" s="8">
        <f t="shared" si="1"/>
        <v>19</v>
      </c>
      <c r="B21" s="37"/>
      <c r="C21" s="9" t="s">
        <v>68</v>
      </c>
      <c r="D21" s="9" t="s">
        <v>69</v>
      </c>
      <c r="E21" s="9" t="s">
        <v>70</v>
      </c>
      <c r="F21" s="9" t="s">
        <v>67</v>
      </c>
      <c r="G21" s="9" t="s">
        <v>245</v>
      </c>
      <c r="H21" s="9"/>
      <c r="I21" s="22"/>
      <c r="J21" s="9" t="s">
        <v>67</v>
      </c>
      <c r="K21" s="9">
        <v>5</v>
      </c>
      <c r="L21" s="10">
        <v>8</v>
      </c>
      <c r="M21" s="5">
        <f t="shared" si="0"/>
        <v>40</v>
      </c>
      <c r="N21" s="15" t="s">
        <v>284</v>
      </c>
      <c r="O21" s="4">
        <v>0.36</v>
      </c>
      <c r="P21" s="12">
        <f>O21*10</f>
        <v>3.5999999999999996</v>
      </c>
      <c r="Q21" s="4">
        <v>0.24099999999999999</v>
      </c>
      <c r="R21" s="12">
        <f>(Q21*25)+(0.284*10)+(0.36*5)</f>
        <v>10.664999999999999</v>
      </c>
      <c r="S21" s="13"/>
    </row>
    <row r="22" spans="1:19" x14ac:dyDescent="0.25">
      <c r="A22" s="8">
        <f t="shared" si="1"/>
        <v>20</v>
      </c>
      <c r="B22" s="37"/>
      <c r="C22" s="9" t="s">
        <v>90</v>
      </c>
      <c r="D22" s="9" t="s">
        <v>91</v>
      </c>
      <c r="E22" s="9" t="s">
        <v>89</v>
      </c>
      <c r="F22" s="9" t="s">
        <v>89</v>
      </c>
      <c r="G22" s="9" t="s">
        <v>246</v>
      </c>
      <c r="H22" s="9" t="s">
        <v>288</v>
      </c>
      <c r="I22" s="22"/>
      <c r="J22" s="9" t="s">
        <v>89</v>
      </c>
      <c r="K22" s="9">
        <v>5</v>
      </c>
      <c r="L22" s="10">
        <v>1</v>
      </c>
      <c r="M22" s="5">
        <f t="shared" si="0"/>
        <v>5</v>
      </c>
      <c r="N22" s="15" t="s">
        <v>262</v>
      </c>
      <c r="O22" s="11">
        <v>0.14299999999999999</v>
      </c>
      <c r="P22" s="12">
        <f>O22*K22</f>
        <v>0.71499999999999997</v>
      </c>
      <c r="Q22" s="11">
        <v>0.14299999999999999</v>
      </c>
      <c r="R22" s="12">
        <f t="shared" si="2"/>
        <v>0.71499999999999997</v>
      </c>
      <c r="S22" s="5"/>
    </row>
    <row r="23" spans="1:19" ht="25.5" x14ac:dyDescent="0.25">
      <c r="A23" s="8">
        <f t="shared" si="1"/>
        <v>21</v>
      </c>
      <c r="B23" s="38"/>
      <c r="C23" s="9" t="s">
        <v>93</v>
      </c>
      <c r="D23" s="9" t="s">
        <v>94</v>
      </c>
      <c r="E23" s="9" t="s">
        <v>95</v>
      </c>
      <c r="F23" s="9" t="s">
        <v>92</v>
      </c>
      <c r="G23" s="9" t="s">
        <v>247</v>
      </c>
      <c r="H23" s="9" t="s">
        <v>290</v>
      </c>
      <c r="I23" s="9" t="s">
        <v>289</v>
      </c>
      <c r="J23" s="9" t="s">
        <v>92</v>
      </c>
      <c r="K23" s="9">
        <v>10</v>
      </c>
      <c r="L23" s="10">
        <v>1</v>
      </c>
      <c r="M23" s="5">
        <f t="shared" si="0"/>
        <v>5</v>
      </c>
      <c r="N23" s="15" t="s">
        <v>262</v>
      </c>
      <c r="O23" s="4">
        <v>7.5800000000000006E-2</v>
      </c>
      <c r="P23" s="12">
        <f>O23*K23</f>
        <v>0.75800000000000001</v>
      </c>
      <c r="Q23" s="4">
        <v>7.5800000000000006E-2</v>
      </c>
      <c r="R23" s="12">
        <f>Q23*K23</f>
        <v>0.75800000000000001</v>
      </c>
      <c r="S23" s="13" t="s">
        <v>291</v>
      </c>
    </row>
    <row r="24" spans="1:19" x14ac:dyDescent="0.25">
      <c r="A24" s="8">
        <f t="shared" si="1"/>
        <v>22</v>
      </c>
      <c r="B24" s="8" t="s">
        <v>222</v>
      </c>
      <c r="C24" s="9" t="s">
        <v>72</v>
      </c>
      <c r="D24" s="9" t="s">
        <v>73</v>
      </c>
      <c r="E24" s="9" t="s">
        <v>71</v>
      </c>
      <c r="F24" s="9" t="s">
        <v>71</v>
      </c>
      <c r="G24" s="9" t="s">
        <v>248</v>
      </c>
      <c r="H24" s="9" t="s">
        <v>295</v>
      </c>
      <c r="I24" s="9"/>
      <c r="J24" s="9" t="s">
        <v>71</v>
      </c>
      <c r="K24" s="9">
        <v>1</v>
      </c>
      <c r="L24" s="10">
        <v>1</v>
      </c>
      <c r="M24" s="5">
        <f t="shared" si="0"/>
        <v>5</v>
      </c>
      <c r="N24" s="15" t="s">
        <v>284</v>
      </c>
      <c r="O24" s="4">
        <v>0.14899999999999999</v>
      </c>
      <c r="P24" s="12">
        <f t="shared" si="3"/>
        <v>0.14899999999999999</v>
      </c>
      <c r="Q24" s="4">
        <v>0.14899999999999999</v>
      </c>
      <c r="R24" s="12">
        <f t="shared" si="2"/>
        <v>0.745</v>
      </c>
      <c r="S24" s="5"/>
    </row>
    <row r="25" spans="1:19" ht="25.5" x14ac:dyDescent="0.25">
      <c r="A25" s="8">
        <f t="shared" si="1"/>
        <v>23</v>
      </c>
      <c r="B25" s="8" t="s">
        <v>224</v>
      </c>
      <c r="C25" s="9" t="s">
        <v>87</v>
      </c>
      <c r="D25" s="9" t="s">
        <v>88</v>
      </c>
      <c r="E25" s="9" t="s">
        <v>86</v>
      </c>
      <c r="F25" s="9" t="s">
        <v>86</v>
      </c>
      <c r="G25" s="9" t="s">
        <v>249</v>
      </c>
      <c r="H25" s="9" t="s">
        <v>292</v>
      </c>
      <c r="I25" s="9"/>
      <c r="J25" s="9" t="s">
        <v>86</v>
      </c>
      <c r="K25" s="9">
        <v>1</v>
      </c>
      <c r="L25" s="10">
        <v>1</v>
      </c>
      <c r="M25" s="5">
        <f t="shared" si="0"/>
        <v>5</v>
      </c>
      <c r="N25" s="15" t="s">
        <v>262</v>
      </c>
      <c r="O25" s="4">
        <v>0.79710000000000003</v>
      </c>
      <c r="P25" s="12">
        <f t="shared" si="3"/>
        <v>0.79710000000000003</v>
      </c>
      <c r="Q25" s="4">
        <v>0.79710000000000003</v>
      </c>
      <c r="R25" s="12">
        <f t="shared" si="2"/>
        <v>3.9855</v>
      </c>
      <c r="S25" s="5"/>
    </row>
    <row r="26" spans="1:19" ht="25.5" x14ac:dyDescent="0.25">
      <c r="A26" s="8">
        <f t="shared" si="1"/>
        <v>24</v>
      </c>
      <c r="B26" s="8" t="s">
        <v>223</v>
      </c>
      <c r="C26" s="9" t="s">
        <v>109</v>
      </c>
      <c r="D26" s="9" t="s">
        <v>110</v>
      </c>
      <c r="E26" s="9" t="s">
        <v>111</v>
      </c>
      <c r="F26" s="9" t="s">
        <v>108</v>
      </c>
      <c r="G26" s="9" t="s">
        <v>240</v>
      </c>
      <c r="H26" s="9" t="s">
        <v>293</v>
      </c>
      <c r="I26" s="9"/>
      <c r="J26" s="9" t="s">
        <v>108</v>
      </c>
      <c r="K26" s="9">
        <v>1</v>
      </c>
      <c r="L26" s="10">
        <v>8</v>
      </c>
      <c r="M26" s="5">
        <f t="shared" si="0"/>
        <v>40</v>
      </c>
      <c r="N26" s="15" t="s">
        <v>262</v>
      </c>
      <c r="O26" s="4">
        <v>2.4777</v>
      </c>
      <c r="P26" s="12">
        <f t="shared" si="3"/>
        <v>19.8216</v>
      </c>
      <c r="Q26" s="4">
        <v>2.4777</v>
      </c>
      <c r="R26" s="12">
        <f t="shared" si="2"/>
        <v>99.108000000000004</v>
      </c>
      <c r="S26" s="5"/>
    </row>
    <row r="27" spans="1:19" x14ac:dyDescent="0.25">
      <c r="A27" s="8">
        <f t="shared" si="1"/>
        <v>25</v>
      </c>
      <c r="B27" s="36" t="s">
        <v>225</v>
      </c>
      <c r="C27" s="9" t="s">
        <v>113</v>
      </c>
      <c r="D27" s="9" t="s">
        <v>114</v>
      </c>
      <c r="E27" s="9" t="s">
        <v>62</v>
      </c>
      <c r="F27" s="9" t="s">
        <v>115</v>
      </c>
      <c r="G27" s="9" t="s">
        <v>250</v>
      </c>
      <c r="H27" s="9" t="s">
        <v>294</v>
      </c>
      <c r="I27" s="9"/>
      <c r="J27" s="9" t="s">
        <v>112</v>
      </c>
      <c r="K27" s="9">
        <v>100</v>
      </c>
      <c r="L27" s="10">
        <v>2</v>
      </c>
      <c r="M27" s="5">
        <f t="shared" si="0"/>
        <v>10</v>
      </c>
      <c r="N27" s="15" t="s">
        <v>262</v>
      </c>
      <c r="O27" s="4">
        <v>1.6999999999999999E-3</v>
      </c>
      <c r="P27" s="12">
        <f>O27*K27</f>
        <v>0.16999999999999998</v>
      </c>
      <c r="Q27" s="4">
        <v>1.6999999999999999E-3</v>
      </c>
      <c r="R27" s="12">
        <f>Q27*K27</f>
        <v>0.16999999999999998</v>
      </c>
      <c r="S27" s="5"/>
    </row>
    <row r="28" spans="1:19" x14ac:dyDescent="0.25">
      <c r="A28" s="8">
        <f t="shared" si="1"/>
        <v>26</v>
      </c>
      <c r="B28" s="37"/>
      <c r="C28" s="9" t="s">
        <v>117</v>
      </c>
      <c r="D28" s="9" t="s">
        <v>118</v>
      </c>
      <c r="E28" s="9" t="s">
        <v>62</v>
      </c>
      <c r="F28" s="9" t="s">
        <v>119</v>
      </c>
      <c r="G28" s="9" t="s">
        <v>230</v>
      </c>
      <c r="H28" s="9" t="s">
        <v>296</v>
      </c>
      <c r="I28" s="9"/>
      <c r="J28" s="9" t="s">
        <v>116</v>
      </c>
      <c r="K28" s="9">
        <v>100</v>
      </c>
      <c r="L28" s="10">
        <v>2</v>
      </c>
      <c r="M28" s="5">
        <f t="shared" si="0"/>
        <v>10</v>
      </c>
      <c r="N28" s="15" t="s">
        <v>262</v>
      </c>
      <c r="O28" s="4">
        <v>1.6999999999999999E-3</v>
      </c>
      <c r="P28" s="12">
        <f>O28*K28</f>
        <v>0.16999999999999998</v>
      </c>
      <c r="Q28" s="4">
        <v>1.6999999999999999E-3</v>
      </c>
      <c r="R28" s="12">
        <f>Q28*K28</f>
        <v>0.16999999999999998</v>
      </c>
      <c r="S28" s="5"/>
    </row>
    <row r="29" spans="1:19" x14ac:dyDescent="0.25">
      <c r="A29" s="8">
        <f t="shared" si="1"/>
        <v>27</v>
      </c>
      <c r="B29" s="37"/>
      <c r="C29" s="9" t="s">
        <v>121</v>
      </c>
      <c r="D29" s="9" t="s">
        <v>122</v>
      </c>
      <c r="E29" s="9" t="s">
        <v>62</v>
      </c>
      <c r="F29" s="9" t="s">
        <v>123</v>
      </c>
      <c r="G29" s="9" t="s">
        <v>230</v>
      </c>
      <c r="H29" s="9" t="s">
        <v>297</v>
      </c>
      <c r="I29" s="9"/>
      <c r="J29" s="9" t="s">
        <v>120</v>
      </c>
      <c r="K29" s="9">
        <v>100</v>
      </c>
      <c r="L29" s="10">
        <v>1</v>
      </c>
      <c r="M29" s="5">
        <f t="shared" si="0"/>
        <v>5</v>
      </c>
      <c r="N29" s="15" t="s">
        <v>262</v>
      </c>
      <c r="O29" s="4">
        <v>2.0999999999999999E-3</v>
      </c>
      <c r="P29" s="12">
        <f>O29*K29</f>
        <v>0.21</v>
      </c>
      <c r="Q29" s="4">
        <v>2.0999999999999999E-3</v>
      </c>
      <c r="R29" s="12">
        <f>Q29*K29</f>
        <v>0.21</v>
      </c>
      <c r="S29" s="5"/>
    </row>
    <row r="30" spans="1:19" x14ac:dyDescent="0.25">
      <c r="A30" s="8">
        <f t="shared" si="1"/>
        <v>28</v>
      </c>
      <c r="B30" s="37"/>
      <c r="C30" s="9" t="s">
        <v>125</v>
      </c>
      <c r="D30" s="9" t="s">
        <v>126</v>
      </c>
      <c r="E30" s="9" t="s">
        <v>62</v>
      </c>
      <c r="F30" s="9" t="s">
        <v>127</v>
      </c>
      <c r="G30" s="9" t="s">
        <v>230</v>
      </c>
      <c r="H30" s="9" t="s">
        <v>298</v>
      </c>
      <c r="I30" s="9"/>
      <c r="J30" s="9" t="s">
        <v>124</v>
      </c>
      <c r="K30" s="9">
        <v>100</v>
      </c>
      <c r="L30" s="10">
        <v>1</v>
      </c>
      <c r="M30" s="5">
        <f t="shared" si="0"/>
        <v>5</v>
      </c>
      <c r="N30" s="15" t="s">
        <v>262</v>
      </c>
      <c r="O30" s="11">
        <v>1.4E-3</v>
      </c>
      <c r="P30" s="12">
        <f t="shared" ref="P30:P31" si="5">O30*K30</f>
        <v>0.13999999999999999</v>
      </c>
      <c r="Q30" s="11">
        <v>1.4E-3</v>
      </c>
      <c r="R30" s="12">
        <f t="shared" ref="R30:R31" si="6">Q30*K30</f>
        <v>0.13999999999999999</v>
      </c>
      <c r="S30" s="5"/>
    </row>
    <row r="31" spans="1:19" x14ac:dyDescent="0.25">
      <c r="A31" s="8">
        <f t="shared" si="1"/>
        <v>29</v>
      </c>
      <c r="B31" s="37"/>
      <c r="C31" s="9" t="s">
        <v>129</v>
      </c>
      <c r="D31" s="9" t="s">
        <v>130</v>
      </c>
      <c r="E31" s="9" t="s">
        <v>62</v>
      </c>
      <c r="F31" s="9" t="s">
        <v>131</v>
      </c>
      <c r="G31" s="9" t="s">
        <v>230</v>
      </c>
      <c r="H31" s="5" t="s">
        <v>299</v>
      </c>
      <c r="I31" s="5"/>
      <c r="J31" s="9" t="s">
        <v>128</v>
      </c>
      <c r="K31" s="9">
        <v>100</v>
      </c>
      <c r="L31" s="10">
        <v>4</v>
      </c>
      <c r="M31" s="5">
        <f t="shared" si="0"/>
        <v>20</v>
      </c>
      <c r="N31" s="15" t="s">
        <v>262</v>
      </c>
      <c r="O31" s="11">
        <v>2.3E-3</v>
      </c>
      <c r="P31" s="12">
        <f t="shared" si="5"/>
        <v>0.22999999999999998</v>
      </c>
      <c r="Q31" s="11">
        <v>2.3E-3</v>
      </c>
      <c r="R31" s="12">
        <f t="shared" si="6"/>
        <v>0.22999999999999998</v>
      </c>
      <c r="S31" s="5"/>
    </row>
    <row r="32" spans="1:19" ht="25.5" x14ac:dyDescent="0.25">
      <c r="A32" s="8">
        <f t="shared" si="1"/>
        <v>30</v>
      </c>
      <c r="B32" s="37"/>
      <c r="C32" s="9" t="s">
        <v>133</v>
      </c>
      <c r="D32" s="9" t="s">
        <v>134</v>
      </c>
      <c r="E32" s="9" t="s">
        <v>135</v>
      </c>
      <c r="F32" s="9" t="s">
        <v>136</v>
      </c>
      <c r="G32" s="5" t="s">
        <v>229</v>
      </c>
      <c r="H32" s="29" t="s">
        <v>300</v>
      </c>
      <c r="I32" s="5"/>
      <c r="J32" s="9" t="s">
        <v>132</v>
      </c>
      <c r="K32" s="9">
        <v>5</v>
      </c>
      <c r="L32" s="10">
        <v>4</v>
      </c>
      <c r="M32" s="5">
        <f t="shared" si="0"/>
        <v>20</v>
      </c>
      <c r="N32" s="30" t="s">
        <v>262</v>
      </c>
      <c r="O32" s="11">
        <v>8.5699999999999998E-2</v>
      </c>
      <c r="P32" s="12">
        <f t="shared" ref="P32:P40" si="7">O32*K32</f>
        <v>0.42849999999999999</v>
      </c>
      <c r="Q32" s="11">
        <v>8.5699999999999998E-2</v>
      </c>
      <c r="R32" s="12">
        <f>Q32*M32</f>
        <v>1.714</v>
      </c>
      <c r="S32" s="5"/>
    </row>
    <row r="33" spans="1:19" ht="38.25" x14ac:dyDescent="0.25">
      <c r="A33" s="8">
        <f t="shared" si="1"/>
        <v>31</v>
      </c>
      <c r="B33" s="37"/>
      <c r="C33" s="9" t="s">
        <v>138</v>
      </c>
      <c r="D33" s="9" t="s">
        <v>139</v>
      </c>
      <c r="E33" s="9" t="s">
        <v>62</v>
      </c>
      <c r="F33" s="9" t="s">
        <v>140</v>
      </c>
      <c r="G33" s="5" t="s">
        <v>230</v>
      </c>
      <c r="H33" s="5" t="s">
        <v>301</v>
      </c>
      <c r="I33" s="5"/>
      <c r="J33" s="9" t="s">
        <v>137</v>
      </c>
      <c r="K33" s="9">
        <v>100</v>
      </c>
      <c r="L33" s="10">
        <v>8</v>
      </c>
      <c r="M33" s="5">
        <f t="shared" si="0"/>
        <v>40</v>
      </c>
      <c r="N33" s="15" t="s">
        <v>262</v>
      </c>
      <c r="O33" s="11">
        <v>2.2000000000000001E-3</v>
      </c>
      <c r="P33" s="12">
        <f t="shared" si="7"/>
        <v>0.22</v>
      </c>
      <c r="Q33" s="11">
        <v>2.2000000000000001E-3</v>
      </c>
      <c r="R33" s="12">
        <f t="shared" ref="R33:R40" si="8">Q33*K33</f>
        <v>0.22</v>
      </c>
      <c r="S33" s="5"/>
    </row>
    <row r="34" spans="1:19" x14ac:dyDescent="0.25">
      <c r="A34" s="8">
        <f t="shared" si="1"/>
        <v>32</v>
      </c>
      <c r="B34" s="37"/>
      <c r="C34" s="9" t="s">
        <v>142</v>
      </c>
      <c r="D34" s="9" t="s">
        <v>143</v>
      </c>
      <c r="E34" s="9" t="s">
        <v>62</v>
      </c>
      <c r="F34" s="9" t="s">
        <v>144</v>
      </c>
      <c r="G34" s="5" t="s">
        <v>231</v>
      </c>
      <c r="H34" s="5" t="s">
        <v>302</v>
      </c>
      <c r="I34" s="5"/>
      <c r="J34" s="9" t="s">
        <v>141</v>
      </c>
      <c r="K34" s="9">
        <v>50</v>
      </c>
      <c r="L34" s="10">
        <v>1</v>
      </c>
      <c r="M34" s="5">
        <f t="shared" si="0"/>
        <v>5</v>
      </c>
      <c r="N34" s="15" t="s">
        <v>262</v>
      </c>
      <c r="O34" s="11">
        <v>9.2999999999999992E-3</v>
      </c>
      <c r="P34" s="12">
        <f t="shared" si="7"/>
        <v>0.46499999999999997</v>
      </c>
      <c r="Q34" s="11">
        <v>9.2999999999999992E-3</v>
      </c>
      <c r="R34" s="12">
        <f t="shared" si="8"/>
        <v>0.46499999999999997</v>
      </c>
      <c r="S34" s="5"/>
    </row>
    <row r="35" spans="1:19" x14ac:dyDescent="0.25">
      <c r="A35" s="8">
        <f t="shared" si="1"/>
        <v>33</v>
      </c>
      <c r="B35" s="37"/>
      <c r="C35" s="9" t="s">
        <v>146</v>
      </c>
      <c r="D35" s="9" t="s">
        <v>147</v>
      </c>
      <c r="E35" s="9" t="s">
        <v>62</v>
      </c>
      <c r="F35" s="9" t="s">
        <v>148</v>
      </c>
      <c r="G35" s="5" t="s">
        <v>230</v>
      </c>
      <c r="H35" s="5" t="s">
        <v>303</v>
      </c>
      <c r="I35" s="5"/>
      <c r="J35" s="9" t="s">
        <v>145</v>
      </c>
      <c r="K35" s="9">
        <v>100</v>
      </c>
      <c r="L35" s="10">
        <v>1</v>
      </c>
      <c r="M35" s="5">
        <f t="shared" si="0"/>
        <v>5</v>
      </c>
      <c r="N35" s="15" t="s">
        <v>262</v>
      </c>
      <c r="O35" s="11">
        <v>2E-3</v>
      </c>
      <c r="P35" s="12">
        <f t="shared" si="7"/>
        <v>0.2</v>
      </c>
      <c r="Q35" s="11">
        <v>2E-3</v>
      </c>
      <c r="R35" s="12">
        <f t="shared" si="8"/>
        <v>0.2</v>
      </c>
      <c r="S35" s="5"/>
    </row>
    <row r="36" spans="1:19" x14ac:dyDescent="0.25">
      <c r="A36" s="8">
        <f t="shared" si="1"/>
        <v>34</v>
      </c>
      <c r="B36" s="37"/>
      <c r="C36" s="9" t="s">
        <v>150</v>
      </c>
      <c r="D36" s="9" t="s">
        <v>151</v>
      </c>
      <c r="E36" s="9" t="s">
        <v>62</v>
      </c>
      <c r="F36" s="9" t="s">
        <v>152</v>
      </c>
      <c r="G36" s="5" t="s">
        <v>231</v>
      </c>
      <c r="H36" s="5" t="s">
        <v>304</v>
      </c>
      <c r="I36" s="5"/>
      <c r="J36" s="9" t="s">
        <v>149</v>
      </c>
      <c r="K36" s="9">
        <v>50</v>
      </c>
      <c r="L36" s="10">
        <v>1</v>
      </c>
      <c r="M36" s="5">
        <f t="shared" si="0"/>
        <v>5</v>
      </c>
      <c r="N36" s="15" t="s">
        <v>262</v>
      </c>
      <c r="O36" s="11">
        <v>5.7999999999999996E-3</v>
      </c>
      <c r="P36" s="12">
        <f t="shared" si="7"/>
        <v>0.28999999999999998</v>
      </c>
      <c r="Q36" s="11">
        <v>5.7999999999999996E-3</v>
      </c>
      <c r="R36" s="12">
        <f t="shared" si="8"/>
        <v>0.28999999999999998</v>
      </c>
      <c r="S36" s="5"/>
    </row>
    <row r="37" spans="1:19" x14ac:dyDescent="0.25">
      <c r="A37" s="8">
        <f t="shared" si="1"/>
        <v>35</v>
      </c>
      <c r="B37" s="37"/>
      <c r="C37" s="9" t="s">
        <v>154</v>
      </c>
      <c r="D37" s="9" t="s">
        <v>155</v>
      </c>
      <c r="E37" s="9" t="s">
        <v>62</v>
      </c>
      <c r="F37" s="9" t="s">
        <v>156</v>
      </c>
      <c r="G37" s="5" t="s">
        <v>230</v>
      </c>
      <c r="H37" s="5" t="s">
        <v>305</v>
      </c>
      <c r="I37" s="5"/>
      <c r="J37" s="9" t="s">
        <v>153</v>
      </c>
      <c r="K37" s="9">
        <v>100</v>
      </c>
      <c r="L37" s="10">
        <v>1</v>
      </c>
      <c r="M37" s="5">
        <f t="shared" si="0"/>
        <v>5</v>
      </c>
      <c r="N37" s="15" t="s">
        <v>262</v>
      </c>
      <c r="O37" s="11">
        <v>2.0999999999999999E-3</v>
      </c>
      <c r="P37" s="12">
        <f t="shared" si="7"/>
        <v>0.21</v>
      </c>
      <c r="Q37" s="11">
        <v>2.0999999999999999E-3</v>
      </c>
      <c r="R37" s="12">
        <f t="shared" si="8"/>
        <v>0.21</v>
      </c>
      <c r="S37" s="5"/>
    </row>
    <row r="38" spans="1:19" x14ac:dyDescent="0.25">
      <c r="A38" s="8">
        <f t="shared" si="1"/>
        <v>36</v>
      </c>
      <c r="B38" s="37"/>
      <c r="C38" s="9" t="s">
        <v>158</v>
      </c>
      <c r="D38" s="9" t="s">
        <v>159</v>
      </c>
      <c r="E38" s="9" t="s">
        <v>62</v>
      </c>
      <c r="F38" s="9" t="s">
        <v>160</v>
      </c>
      <c r="G38" s="5" t="s">
        <v>231</v>
      </c>
      <c r="H38" s="5" t="s">
        <v>306</v>
      </c>
      <c r="I38" s="5"/>
      <c r="J38" s="9" t="s">
        <v>157</v>
      </c>
      <c r="K38" s="9">
        <v>100</v>
      </c>
      <c r="L38" s="10">
        <v>1</v>
      </c>
      <c r="M38" s="5">
        <f t="shared" si="0"/>
        <v>5</v>
      </c>
      <c r="N38" s="15" t="s">
        <v>262</v>
      </c>
      <c r="O38" s="11">
        <v>9.2999999999999992E-3</v>
      </c>
      <c r="P38" s="12">
        <f t="shared" si="7"/>
        <v>0.92999999999999994</v>
      </c>
      <c r="Q38" s="11">
        <v>9.2999999999999992E-3</v>
      </c>
      <c r="R38" s="12">
        <f t="shared" si="8"/>
        <v>0.92999999999999994</v>
      </c>
      <c r="S38" s="5"/>
    </row>
    <row r="39" spans="1:19" x14ac:dyDescent="0.25">
      <c r="A39" s="8">
        <f t="shared" si="1"/>
        <v>37</v>
      </c>
      <c r="B39" s="37"/>
      <c r="C39" s="9" t="s">
        <v>162</v>
      </c>
      <c r="D39" s="9" t="s">
        <v>163</v>
      </c>
      <c r="E39" s="9" t="s">
        <v>62</v>
      </c>
      <c r="F39" s="9" t="s">
        <v>164</v>
      </c>
      <c r="G39" s="5" t="s">
        <v>230</v>
      </c>
      <c r="H39" s="5" t="s">
        <v>307</v>
      </c>
      <c r="I39" s="5"/>
      <c r="J39" s="9" t="s">
        <v>161</v>
      </c>
      <c r="K39" s="9">
        <v>100</v>
      </c>
      <c r="L39" s="10">
        <v>1</v>
      </c>
      <c r="M39" s="5">
        <f t="shared" si="0"/>
        <v>5</v>
      </c>
      <c r="N39" s="15" t="s">
        <v>262</v>
      </c>
      <c r="O39" s="11">
        <v>2.5999999999999999E-3</v>
      </c>
      <c r="P39" s="12">
        <f t="shared" si="7"/>
        <v>0.26</v>
      </c>
      <c r="Q39" s="11">
        <v>2.5999999999999999E-3</v>
      </c>
      <c r="R39" s="12">
        <f t="shared" si="8"/>
        <v>0.26</v>
      </c>
      <c r="S39" s="5"/>
    </row>
    <row r="40" spans="1:19" x14ac:dyDescent="0.25">
      <c r="A40" s="8">
        <f t="shared" si="1"/>
        <v>38</v>
      </c>
      <c r="B40" s="38"/>
      <c r="C40" s="9" t="s">
        <v>166</v>
      </c>
      <c r="D40" s="9" t="s">
        <v>167</v>
      </c>
      <c r="E40" s="9" t="s">
        <v>62</v>
      </c>
      <c r="F40" s="9" t="s">
        <v>168</v>
      </c>
      <c r="G40" s="5" t="s">
        <v>230</v>
      </c>
      <c r="H40" s="9" t="s">
        <v>308</v>
      </c>
      <c r="I40" s="5"/>
      <c r="J40" s="9" t="s">
        <v>165</v>
      </c>
      <c r="K40" s="9">
        <v>100</v>
      </c>
      <c r="L40" s="10">
        <v>1</v>
      </c>
      <c r="M40" s="5">
        <f t="shared" si="0"/>
        <v>5</v>
      </c>
      <c r="N40" s="15" t="s">
        <v>262</v>
      </c>
      <c r="O40" s="11">
        <v>2E-3</v>
      </c>
      <c r="P40" s="12">
        <f t="shared" si="7"/>
        <v>0.2</v>
      </c>
      <c r="Q40" s="11">
        <v>2E-3</v>
      </c>
      <c r="R40" s="12">
        <f t="shared" si="8"/>
        <v>0.2</v>
      </c>
      <c r="S40" s="5"/>
    </row>
    <row r="41" spans="1:19" ht="25.5" x14ac:dyDescent="0.25">
      <c r="A41" s="8">
        <f t="shared" si="1"/>
        <v>39</v>
      </c>
      <c r="B41" s="36" t="s">
        <v>226</v>
      </c>
      <c r="C41" s="9" t="s">
        <v>173</v>
      </c>
      <c r="D41" s="9" t="s">
        <v>174</v>
      </c>
      <c r="E41" s="9" t="s">
        <v>172</v>
      </c>
      <c r="F41" s="9" t="s">
        <v>172</v>
      </c>
      <c r="G41" s="5"/>
      <c r="H41" s="5"/>
      <c r="I41" s="5"/>
      <c r="J41" s="9" t="s">
        <v>172</v>
      </c>
      <c r="K41" s="9">
        <v>50</v>
      </c>
      <c r="L41" s="10">
        <v>1</v>
      </c>
      <c r="M41" s="5">
        <f t="shared" si="0"/>
        <v>5</v>
      </c>
      <c r="N41" s="15" t="s">
        <v>232</v>
      </c>
      <c r="O41" s="11">
        <v>1.8</v>
      </c>
      <c r="P41" s="12">
        <f>O41*L41</f>
        <v>1.8</v>
      </c>
      <c r="Q41" s="11">
        <v>1.8</v>
      </c>
      <c r="R41" s="12">
        <v>1.8</v>
      </c>
      <c r="S41" s="5"/>
    </row>
    <row r="42" spans="1:19" ht="25.5" x14ac:dyDescent="0.25">
      <c r="A42" s="8">
        <f t="shared" si="1"/>
        <v>40</v>
      </c>
      <c r="B42" s="38"/>
      <c r="C42" s="9" t="s">
        <v>176</v>
      </c>
      <c r="D42" s="9" t="s">
        <v>177</v>
      </c>
      <c r="E42" s="9" t="s">
        <v>175</v>
      </c>
      <c r="F42" s="9" t="s">
        <v>175</v>
      </c>
      <c r="G42" s="5" t="s">
        <v>310</v>
      </c>
      <c r="H42" s="5" t="s">
        <v>309</v>
      </c>
      <c r="I42" s="5"/>
      <c r="J42" s="9" t="s">
        <v>175</v>
      </c>
      <c r="K42" s="9">
        <v>1</v>
      </c>
      <c r="L42" s="10">
        <v>2</v>
      </c>
      <c r="M42" s="5">
        <f t="shared" si="0"/>
        <v>10</v>
      </c>
      <c r="N42" s="15" t="s">
        <v>262</v>
      </c>
      <c r="O42" s="11">
        <v>0.28860000000000002</v>
      </c>
      <c r="P42" s="12">
        <f t="shared" si="3"/>
        <v>0.57720000000000005</v>
      </c>
      <c r="Q42" s="11">
        <v>0.20930000000000001</v>
      </c>
      <c r="R42" s="12">
        <f>Q42*M42</f>
        <v>2.093</v>
      </c>
      <c r="S42" s="5"/>
    </row>
    <row r="43" spans="1:19" x14ac:dyDescent="0.25">
      <c r="A43" s="8">
        <f t="shared" si="1"/>
        <v>41</v>
      </c>
      <c r="B43" s="36" t="s">
        <v>227</v>
      </c>
      <c r="C43" s="9" t="s">
        <v>179</v>
      </c>
      <c r="D43" s="9" t="s">
        <v>180</v>
      </c>
      <c r="E43" s="9" t="s">
        <v>181</v>
      </c>
      <c r="F43" s="9" t="s">
        <v>178</v>
      </c>
      <c r="G43" s="5" t="s">
        <v>233</v>
      </c>
      <c r="H43" s="5" t="s">
        <v>311</v>
      </c>
      <c r="I43" s="5"/>
      <c r="J43" s="9" t="s">
        <v>178</v>
      </c>
      <c r="K43" s="9">
        <v>1</v>
      </c>
      <c r="L43" s="10">
        <v>1</v>
      </c>
      <c r="M43" s="5">
        <f t="shared" si="0"/>
        <v>5</v>
      </c>
      <c r="N43" s="15" t="s">
        <v>262</v>
      </c>
      <c r="O43" s="11">
        <v>0.18729999999999999</v>
      </c>
      <c r="P43" s="12">
        <f t="shared" si="3"/>
        <v>0.18729999999999999</v>
      </c>
      <c r="Q43" s="11">
        <v>0.18729999999999999</v>
      </c>
      <c r="R43" s="12">
        <f t="shared" si="2"/>
        <v>0.9365</v>
      </c>
    </row>
    <row r="44" spans="1:19" x14ac:dyDescent="0.25">
      <c r="A44" s="8">
        <f t="shared" si="1"/>
        <v>42</v>
      </c>
      <c r="B44" s="37"/>
      <c r="C44" s="9" t="s">
        <v>183</v>
      </c>
      <c r="D44" s="9" t="s">
        <v>184</v>
      </c>
      <c r="E44" s="9" t="s">
        <v>185</v>
      </c>
      <c r="F44" s="9" t="s">
        <v>182</v>
      </c>
      <c r="G44" s="5" t="s">
        <v>312</v>
      </c>
      <c r="H44" s="5" t="s">
        <v>313</v>
      </c>
      <c r="I44" s="5"/>
      <c r="J44" s="9" t="s">
        <v>182</v>
      </c>
      <c r="K44" s="9">
        <v>1</v>
      </c>
      <c r="L44" s="10">
        <v>1</v>
      </c>
      <c r="M44" s="5">
        <f t="shared" si="0"/>
        <v>5</v>
      </c>
      <c r="N44" s="15" t="s">
        <v>262</v>
      </c>
      <c r="O44" s="11">
        <v>0.3478</v>
      </c>
      <c r="P44" s="12">
        <f t="shared" si="3"/>
        <v>0.3478</v>
      </c>
      <c r="Q44" s="11">
        <v>0.3478</v>
      </c>
      <c r="R44" s="12">
        <f>Q44*M44</f>
        <v>1.7389999999999999</v>
      </c>
      <c r="S44" s="5"/>
    </row>
    <row r="45" spans="1:19" ht="25.5" x14ac:dyDescent="0.25">
      <c r="A45" s="8">
        <f t="shared" si="1"/>
        <v>43</v>
      </c>
      <c r="B45" s="37"/>
      <c r="C45" s="9" t="s">
        <v>187</v>
      </c>
      <c r="D45" s="9" t="s">
        <v>188</v>
      </c>
      <c r="E45" s="9" t="s">
        <v>189</v>
      </c>
      <c r="F45" s="9" t="s">
        <v>186</v>
      </c>
      <c r="G45" s="5" t="s">
        <v>233</v>
      </c>
      <c r="H45" s="5" t="s">
        <v>314</v>
      </c>
      <c r="I45" s="5"/>
      <c r="J45" s="9" t="s">
        <v>186</v>
      </c>
      <c r="K45" s="9">
        <v>1</v>
      </c>
      <c r="L45" s="10">
        <v>1</v>
      </c>
      <c r="M45" s="5">
        <f t="shared" si="0"/>
        <v>5</v>
      </c>
      <c r="N45" s="15" t="s">
        <v>262</v>
      </c>
      <c r="O45" s="11">
        <v>1.5923</v>
      </c>
      <c r="P45" s="12">
        <f t="shared" si="3"/>
        <v>1.5923</v>
      </c>
      <c r="Q45" s="11">
        <v>1.5923</v>
      </c>
      <c r="R45" s="12">
        <f t="shared" si="2"/>
        <v>7.9615</v>
      </c>
      <c r="S45" s="5"/>
    </row>
    <row r="46" spans="1:19" x14ac:dyDescent="0.25">
      <c r="A46" s="8">
        <f t="shared" si="1"/>
        <v>44</v>
      </c>
      <c r="B46" s="37"/>
      <c r="C46" s="9" t="s">
        <v>191</v>
      </c>
      <c r="D46" s="9" t="s">
        <v>192</v>
      </c>
      <c r="E46" s="9" t="s">
        <v>193</v>
      </c>
      <c r="F46" s="9" t="s">
        <v>190</v>
      </c>
      <c r="G46" s="5" t="s">
        <v>234</v>
      </c>
      <c r="H46" s="5"/>
      <c r="I46" s="5"/>
      <c r="J46" s="9" t="s">
        <v>190</v>
      </c>
      <c r="K46" s="9">
        <v>1</v>
      </c>
      <c r="L46" s="10">
        <v>1</v>
      </c>
      <c r="M46" s="5">
        <f t="shared" si="0"/>
        <v>5</v>
      </c>
      <c r="N46" s="15" t="s">
        <v>284</v>
      </c>
      <c r="O46" s="11">
        <v>0.34639999999999999</v>
      </c>
      <c r="P46" s="12">
        <f t="shared" si="3"/>
        <v>0.34639999999999999</v>
      </c>
      <c r="Q46" s="11">
        <v>0.34639999999999999</v>
      </c>
      <c r="R46" s="12">
        <f t="shared" si="2"/>
        <v>1.732</v>
      </c>
      <c r="S46" s="5"/>
    </row>
    <row r="47" spans="1:19" x14ac:dyDescent="0.25">
      <c r="A47" s="8">
        <f t="shared" si="1"/>
        <v>45</v>
      </c>
      <c r="B47" s="37"/>
      <c r="C47" s="9" t="s">
        <v>195</v>
      </c>
      <c r="D47" s="9" t="s">
        <v>196</v>
      </c>
      <c r="E47" s="9" t="s">
        <v>197</v>
      </c>
      <c r="F47" s="9" t="s">
        <v>194</v>
      </c>
      <c r="G47" s="5" t="s">
        <v>235</v>
      </c>
      <c r="H47" s="5" t="s">
        <v>315</v>
      </c>
      <c r="I47" s="5"/>
      <c r="J47" s="9" t="s">
        <v>194</v>
      </c>
      <c r="K47" s="9">
        <v>1</v>
      </c>
      <c r="L47" s="10">
        <v>1</v>
      </c>
      <c r="M47" s="5">
        <f t="shared" si="0"/>
        <v>5</v>
      </c>
      <c r="N47" s="15" t="s">
        <v>262</v>
      </c>
      <c r="O47" s="11">
        <v>0.30620000000000003</v>
      </c>
      <c r="P47" s="12">
        <f t="shared" si="3"/>
        <v>0.30620000000000003</v>
      </c>
      <c r="Q47" s="11">
        <v>0.30620000000000003</v>
      </c>
      <c r="R47" s="12">
        <f t="shared" si="2"/>
        <v>1.5310000000000001</v>
      </c>
      <c r="S47" s="5"/>
    </row>
    <row r="48" spans="1:19" x14ac:dyDescent="0.25">
      <c r="A48" s="8">
        <f t="shared" si="1"/>
        <v>46</v>
      </c>
      <c r="B48" s="37"/>
      <c r="C48" s="9" t="s">
        <v>199</v>
      </c>
      <c r="D48" s="9" t="s">
        <v>200</v>
      </c>
      <c r="E48" s="9" t="s">
        <v>201</v>
      </c>
      <c r="F48" s="9" t="s">
        <v>198</v>
      </c>
      <c r="G48" s="5"/>
      <c r="H48" s="5"/>
      <c r="I48" s="5"/>
      <c r="J48" s="9" t="s">
        <v>198</v>
      </c>
      <c r="K48" s="9">
        <v>2</v>
      </c>
      <c r="L48" s="10">
        <v>1</v>
      </c>
      <c r="M48" s="5">
        <f t="shared" si="0"/>
        <v>5</v>
      </c>
      <c r="N48" s="15" t="s">
        <v>232</v>
      </c>
      <c r="O48" s="11">
        <f>16.15/2</f>
        <v>8.0749999999999993</v>
      </c>
      <c r="P48" s="12">
        <f>O48*K48</f>
        <v>16.149999999999999</v>
      </c>
      <c r="Q48" s="11">
        <f>37.05/5</f>
        <v>7.4099999999999993</v>
      </c>
      <c r="R48" s="12">
        <f t="shared" si="2"/>
        <v>37.049999999999997</v>
      </c>
      <c r="S48" s="5"/>
    </row>
    <row r="49" spans="1:19" x14ac:dyDescent="0.25">
      <c r="A49" s="8">
        <f t="shared" si="1"/>
        <v>47</v>
      </c>
      <c r="B49" s="38"/>
      <c r="C49" s="9" t="s">
        <v>203</v>
      </c>
      <c r="D49" s="9" t="s">
        <v>204</v>
      </c>
      <c r="E49" s="9" t="s">
        <v>205</v>
      </c>
      <c r="F49" s="9" t="s">
        <v>202</v>
      </c>
      <c r="G49" s="5" t="s">
        <v>236</v>
      </c>
      <c r="H49" s="5"/>
      <c r="I49" s="5"/>
      <c r="J49" s="9" t="s">
        <v>202</v>
      </c>
      <c r="K49" s="9">
        <v>1</v>
      </c>
      <c r="L49" s="10">
        <v>1</v>
      </c>
      <c r="M49" s="5">
        <f t="shared" si="0"/>
        <v>5</v>
      </c>
      <c r="N49" s="15" t="s">
        <v>284</v>
      </c>
      <c r="O49" s="11">
        <v>1.92</v>
      </c>
      <c r="P49" s="12">
        <f t="shared" si="3"/>
        <v>1.92</v>
      </c>
      <c r="Q49" s="11">
        <v>1.92</v>
      </c>
      <c r="R49" s="12">
        <f t="shared" si="2"/>
        <v>9.6</v>
      </c>
      <c r="S49" s="5"/>
    </row>
    <row r="50" spans="1:19" x14ac:dyDescent="0.25">
      <c r="A50" s="8">
        <f t="shared" si="1"/>
        <v>48</v>
      </c>
      <c r="B50" s="28" t="s">
        <v>228</v>
      </c>
      <c r="C50" s="9" t="s">
        <v>75</v>
      </c>
      <c r="D50" s="9" t="s">
        <v>76</v>
      </c>
      <c r="E50" s="9" t="s">
        <v>74</v>
      </c>
      <c r="F50" s="9" t="s">
        <v>74</v>
      </c>
      <c r="G50" s="5" t="s">
        <v>316</v>
      </c>
      <c r="H50" s="5" t="s">
        <v>317</v>
      </c>
      <c r="I50" s="5"/>
      <c r="J50" s="9" t="s">
        <v>74</v>
      </c>
      <c r="K50" s="9">
        <v>1</v>
      </c>
      <c r="L50" s="10">
        <v>1</v>
      </c>
      <c r="M50" s="5">
        <f t="shared" si="0"/>
        <v>5</v>
      </c>
      <c r="N50" s="15" t="s">
        <v>262</v>
      </c>
      <c r="O50" s="11">
        <v>1.8448</v>
      </c>
      <c r="P50" s="12">
        <f t="shared" si="3"/>
        <v>1.8448</v>
      </c>
      <c r="Q50" s="11">
        <v>1.8448</v>
      </c>
      <c r="R50" s="12">
        <f t="shared" si="2"/>
        <v>9.2240000000000002</v>
      </c>
      <c r="S50" s="5"/>
    </row>
    <row r="51" spans="1:19" ht="25.5" x14ac:dyDescent="0.25">
      <c r="A51" s="8">
        <f t="shared" si="1"/>
        <v>49</v>
      </c>
      <c r="B51" s="28"/>
      <c r="C51" s="9" t="s">
        <v>78</v>
      </c>
      <c r="D51" s="9" t="s">
        <v>79</v>
      </c>
      <c r="E51" s="9" t="s">
        <v>77</v>
      </c>
      <c r="F51" s="9" t="s">
        <v>77</v>
      </c>
      <c r="G51" s="5" t="s">
        <v>237</v>
      </c>
      <c r="H51" s="5" t="s">
        <v>318</v>
      </c>
      <c r="I51" s="5"/>
      <c r="J51" s="9" t="s">
        <v>77</v>
      </c>
      <c r="K51" s="9">
        <v>1</v>
      </c>
      <c r="L51" s="10">
        <v>2</v>
      </c>
      <c r="M51" s="5">
        <f t="shared" si="0"/>
        <v>10</v>
      </c>
      <c r="N51" s="15" t="s">
        <v>262</v>
      </c>
      <c r="O51" s="11">
        <v>0.72860000000000003</v>
      </c>
      <c r="P51" s="12">
        <f t="shared" si="3"/>
        <v>1.4572000000000001</v>
      </c>
      <c r="Q51" s="11">
        <v>0.72860000000000003</v>
      </c>
      <c r="R51" s="12">
        <f t="shared" si="2"/>
        <v>7.2860000000000005</v>
      </c>
      <c r="S51" s="5"/>
    </row>
    <row r="52" spans="1:19" ht="25.5" x14ac:dyDescent="0.25">
      <c r="A52" s="8">
        <f t="shared" si="1"/>
        <v>50</v>
      </c>
      <c r="B52" s="28"/>
      <c r="C52" s="9" t="s">
        <v>81</v>
      </c>
      <c r="D52" s="9" t="s">
        <v>82</v>
      </c>
      <c r="E52" s="9" t="s">
        <v>80</v>
      </c>
      <c r="F52" s="9" t="s">
        <v>80</v>
      </c>
      <c r="G52" s="5" t="s">
        <v>252</v>
      </c>
      <c r="H52" s="5"/>
      <c r="I52" s="5"/>
      <c r="J52" s="9" t="s">
        <v>80</v>
      </c>
      <c r="K52" s="9">
        <v>1</v>
      </c>
      <c r="L52" s="10">
        <v>1</v>
      </c>
      <c r="M52" s="5">
        <f t="shared" si="0"/>
        <v>5</v>
      </c>
      <c r="N52" s="15" t="s">
        <v>322</v>
      </c>
      <c r="O52" s="11">
        <v>1.74</v>
      </c>
      <c r="P52" s="12">
        <f t="shared" si="3"/>
        <v>1.74</v>
      </c>
      <c r="Q52" s="11">
        <v>1.74</v>
      </c>
      <c r="R52" s="12">
        <f t="shared" si="2"/>
        <v>8.6999999999999993</v>
      </c>
      <c r="S52" s="5" t="s">
        <v>321</v>
      </c>
    </row>
    <row r="53" spans="1:19" ht="25.5" x14ac:dyDescent="0.25">
      <c r="A53" s="8">
        <f t="shared" si="1"/>
        <v>51</v>
      </c>
      <c r="B53" s="28"/>
      <c r="C53" s="9" t="s">
        <v>84</v>
      </c>
      <c r="D53" s="9" t="s">
        <v>85</v>
      </c>
      <c r="E53" s="9" t="s">
        <v>83</v>
      </c>
      <c r="F53" s="9" t="s">
        <v>83</v>
      </c>
      <c r="G53" s="5" t="s">
        <v>253</v>
      </c>
      <c r="H53" s="5"/>
      <c r="I53" s="5"/>
      <c r="J53" s="9" t="s">
        <v>83</v>
      </c>
      <c r="K53" s="9">
        <v>10</v>
      </c>
      <c r="L53" s="10">
        <v>1</v>
      </c>
      <c r="M53" s="5">
        <f t="shared" si="0"/>
        <v>5</v>
      </c>
      <c r="N53" s="15" t="s">
        <v>232</v>
      </c>
      <c r="O53" s="11">
        <v>4</v>
      </c>
      <c r="P53" s="12">
        <f>O53*L53</f>
        <v>4</v>
      </c>
      <c r="Q53" s="11">
        <v>4</v>
      </c>
      <c r="R53" s="12">
        <v>4</v>
      </c>
      <c r="S53" s="5"/>
    </row>
    <row r="54" spans="1:19" ht="30" x14ac:dyDescent="0.25">
      <c r="A54" s="8">
        <f t="shared" si="1"/>
        <v>52</v>
      </c>
      <c r="B54" s="28"/>
      <c r="C54" s="9" t="s">
        <v>97</v>
      </c>
      <c r="D54" s="9" t="s">
        <v>98</v>
      </c>
      <c r="E54" s="9" t="s">
        <v>96</v>
      </c>
      <c r="F54" s="9" t="s">
        <v>96</v>
      </c>
      <c r="G54" s="5" t="s">
        <v>254</v>
      </c>
      <c r="H54" s="5"/>
      <c r="I54" s="5"/>
      <c r="J54" s="9" t="s">
        <v>96</v>
      </c>
      <c r="K54" s="9">
        <v>1</v>
      </c>
      <c r="L54" s="10">
        <v>2</v>
      </c>
      <c r="M54" s="5">
        <f t="shared" si="0"/>
        <v>10</v>
      </c>
      <c r="N54" s="15" t="s">
        <v>319</v>
      </c>
      <c r="O54" s="11">
        <v>1.61</v>
      </c>
      <c r="P54" s="12">
        <f t="shared" si="3"/>
        <v>3.22</v>
      </c>
      <c r="Q54" s="11">
        <v>1.61</v>
      </c>
      <c r="R54" s="12">
        <f t="shared" si="2"/>
        <v>16.100000000000001</v>
      </c>
      <c r="S54" s="5"/>
    </row>
    <row r="55" spans="1:19" x14ac:dyDescent="0.25">
      <c r="A55" s="8">
        <f t="shared" si="1"/>
        <v>53</v>
      </c>
      <c r="B55" s="28"/>
      <c r="C55" s="9" t="s">
        <v>104</v>
      </c>
      <c r="D55" s="9" t="s">
        <v>105</v>
      </c>
      <c r="E55" s="9" t="s">
        <v>106</v>
      </c>
      <c r="F55" s="9" t="s">
        <v>107</v>
      </c>
      <c r="G55" s="5" t="s">
        <v>255</v>
      </c>
      <c r="H55" s="5"/>
      <c r="I55" s="5"/>
      <c r="J55" s="9" t="s">
        <v>103</v>
      </c>
      <c r="K55" s="9">
        <v>10</v>
      </c>
      <c r="L55" s="10">
        <v>2</v>
      </c>
      <c r="M55" s="5">
        <f t="shared" si="0"/>
        <v>10</v>
      </c>
      <c r="N55" s="15" t="s">
        <v>320</v>
      </c>
      <c r="O55" s="11">
        <v>0.19</v>
      </c>
      <c r="P55" s="11">
        <v>0.19</v>
      </c>
      <c r="Q55" s="11">
        <v>0.19</v>
      </c>
      <c r="R55" s="11">
        <v>0.19</v>
      </c>
    </row>
    <row r="56" spans="1:19" x14ac:dyDescent="0.25">
      <c r="A56" s="8">
        <f t="shared" si="1"/>
        <v>54</v>
      </c>
      <c r="B56" s="28"/>
      <c r="C56" s="16" t="s">
        <v>100</v>
      </c>
      <c r="D56" s="16" t="s">
        <v>101</v>
      </c>
      <c r="E56" s="16" t="s">
        <v>102</v>
      </c>
      <c r="F56" s="16" t="s">
        <v>102</v>
      </c>
      <c r="G56" s="17"/>
      <c r="H56" s="17"/>
      <c r="I56" s="17"/>
      <c r="J56" s="16" t="s">
        <v>99</v>
      </c>
      <c r="K56" s="16"/>
      <c r="L56" s="17">
        <v>4</v>
      </c>
      <c r="M56" s="17">
        <f t="shared" si="0"/>
        <v>20</v>
      </c>
      <c r="N56" s="17"/>
      <c r="O56" s="17"/>
      <c r="P56" s="18">
        <f t="shared" ref="P56:P57" si="9">O56*L56</f>
        <v>0</v>
      </c>
      <c r="Q56" s="19"/>
      <c r="R56" s="18">
        <f>Q56*M56</f>
        <v>0</v>
      </c>
      <c r="S56" s="17"/>
    </row>
    <row r="57" spans="1:19" x14ac:dyDescent="0.25">
      <c r="A57" s="14"/>
      <c r="B57" s="14"/>
      <c r="C57" s="16" t="s">
        <v>170</v>
      </c>
      <c r="D57" s="16" t="s">
        <v>171</v>
      </c>
      <c r="E57" s="16" t="s">
        <v>169</v>
      </c>
      <c r="F57" s="16" t="s">
        <v>169</v>
      </c>
      <c r="G57" s="17"/>
      <c r="H57" s="17"/>
      <c r="I57" s="17"/>
      <c r="J57" s="16" t="s">
        <v>169</v>
      </c>
      <c r="K57" s="16"/>
      <c r="L57" s="17">
        <v>1</v>
      </c>
      <c r="M57" s="17">
        <f t="shared" si="0"/>
        <v>5</v>
      </c>
      <c r="N57" s="17"/>
      <c r="O57" s="17"/>
      <c r="P57" s="18">
        <f t="shared" si="9"/>
        <v>0</v>
      </c>
      <c r="Q57" s="19"/>
      <c r="R57" s="18">
        <f>Q57*M57</f>
        <v>0</v>
      </c>
      <c r="S57" s="17"/>
    </row>
    <row r="58" spans="1:19" ht="15.75" thickBot="1" x14ac:dyDescent="0.3"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24" t="s">
        <v>261</v>
      </c>
      <c r="N58" s="24"/>
      <c r="O58" s="25"/>
      <c r="P58" s="26">
        <f>SUM(P3:P55)</f>
        <v>73.677199999999985</v>
      </c>
      <c r="Q58" s="24"/>
      <c r="R58" s="27">
        <f>SUM(R3:R55)</f>
        <v>248.25749999999994</v>
      </c>
    </row>
    <row r="59" spans="1:19" ht="15.75" thickTop="1" x14ac:dyDescent="0.25"/>
  </sheetData>
  <mergeCells count="6">
    <mergeCell ref="A1:S1"/>
    <mergeCell ref="B3:B18"/>
    <mergeCell ref="B19:B23"/>
    <mergeCell ref="B41:B42"/>
    <mergeCell ref="B43:B49"/>
    <mergeCell ref="B27:B40"/>
  </mergeCells>
  <phoneticPr fontId="10" type="noConversion"/>
  <conditionalFormatting sqref="P3:P54 P56:P5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{8E373C51-26EE-4B24-86FA-8126BA64278B}</x14:id>
        </ext>
      </extLst>
    </cfRule>
  </conditionalFormatting>
  <conditionalFormatting sqref="L3:M5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54 R56:R57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{19B0CB15-0C97-4D9D-B36B-BDCECB480ACD}</x14:id>
        </ext>
      </extLst>
    </cfRule>
  </conditionalFormatting>
  <hyperlinks>
    <hyperlink ref="N3" r:id="rId1" xr:uid="{FEF0640F-70F9-47AE-873C-5E777EAAABF3}"/>
    <hyperlink ref="N4" r:id="rId2" xr:uid="{E42AE065-4F16-486E-AB87-4BD63AA9CC3D}"/>
    <hyperlink ref="N5" r:id="rId3" xr:uid="{9B000C1C-2E43-4275-9029-6FD743822061}"/>
    <hyperlink ref="N6" r:id="rId4" xr:uid="{393E845A-FE37-4AEC-96E1-3A30841E03C4}"/>
    <hyperlink ref="N7" r:id="rId5" xr:uid="{AE50644F-F482-4F60-8EAF-3161F32493E9}"/>
    <hyperlink ref="N8" r:id="rId6" xr:uid="{72549220-D453-467C-8D49-02901880B1D9}"/>
    <hyperlink ref="N9" r:id="rId7" xr:uid="{FB4B371C-3C21-4960-9E99-AFFFCB427483}"/>
    <hyperlink ref="N10" r:id="rId8" xr:uid="{540CCC4D-F3EC-488C-B987-D637FE7218DD}"/>
    <hyperlink ref="N11" r:id="rId9" xr:uid="{33E3B06A-073D-4C7F-BCE0-E14B13DE6FEC}"/>
    <hyperlink ref="N12" r:id="rId10" xr:uid="{0B4DD2A5-C52A-4412-9F0D-BEF11CECCA3A}"/>
    <hyperlink ref="N13" r:id="rId11" xr:uid="{B2CC03B9-5DC9-41E0-BF09-65C7BE8F51C3}"/>
    <hyperlink ref="N14" r:id="rId12" xr:uid="{5CB80D63-3320-4FFB-BDB3-87B5E9BB1D14}"/>
    <hyperlink ref="N15" r:id="rId13" xr:uid="{E9DF8242-F527-4FAB-A56E-1D71C3244AC7}"/>
    <hyperlink ref="N16" r:id="rId14" xr:uid="{F3B0F722-6B42-4B90-A021-DF1065BA7EB1}"/>
    <hyperlink ref="N17" r:id="rId15" xr:uid="{1EC0E00D-6B99-4269-9086-CD681A3E9BEF}"/>
    <hyperlink ref="N18" r:id="rId16" xr:uid="{F089ED1C-B5A0-49A1-92F7-83B0E7BE489D}"/>
    <hyperlink ref="N19" r:id="rId17" xr:uid="{05AE4DA0-8828-4EB1-8ECC-61EC98D8116A}"/>
    <hyperlink ref="N20" r:id="rId18" xr:uid="{D29066AD-06A7-4BDC-B822-CA97C4828F23}"/>
    <hyperlink ref="N21" r:id="rId19" xr:uid="{EB738F35-73EB-497E-973E-95236673585F}"/>
    <hyperlink ref="N22" r:id="rId20" xr:uid="{DF06AD6E-62EA-46CF-847F-3790BCF991C8}"/>
    <hyperlink ref="N23" r:id="rId21" xr:uid="{572BE3A9-AF7F-4452-B27C-2557C692B7F5}"/>
    <hyperlink ref="N24" r:id="rId22" xr:uid="{F50D2F81-9954-46E2-ADEE-43550BB332F5}"/>
    <hyperlink ref="N25" r:id="rId23" xr:uid="{EA4F5CD5-4D3D-4250-A05A-1BB71AFA270F}"/>
    <hyperlink ref="N26" r:id="rId24" xr:uid="{65AF0AC5-3BB9-41C4-9A7A-9A29F175BDA3}"/>
    <hyperlink ref="N27" r:id="rId25" xr:uid="{D51FC6A8-4CCD-4DC5-B867-1BF40AF81FAC}"/>
    <hyperlink ref="N28" r:id="rId26" xr:uid="{5EA4EF54-C3D0-498C-BE8E-7FA27A9AC1B6}"/>
    <hyperlink ref="N29" r:id="rId27" xr:uid="{68B44140-277C-4409-ADCE-3069C6251AE1}"/>
    <hyperlink ref="N30" r:id="rId28" xr:uid="{FD3C9FC6-3957-4848-BF50-D0F1CCC629AC}"/>
    <hyperlink ref="N31" r:id="rId29" xr:uid="{EE50FD3F-D71A-4F72-AF03-CE1B95D14127}"/>
    <hyperlink ref="N32" r:id="rId30" xr:uid="{A33622CD-0F8B-487A-829D-91E6B7E3E834}"/>
    <hyperlink ref="N33" r:id="rId31" xr:uid="{6DAE296B-AE93-4D94-BDA0-26DEA532A9DC}"/>
    <hyperlink ref="N34" r:id="rId32" xr:uid="{EE601309-4ADE-468E-A406-EBE4B821AA59}"/>
    <hyperlink ref="N35" r:id="rId33" xr:uid="{610B3EE9-2DD0-480F-B16F-BF17FB82CED9}"/>
    <hyperlink ref="N36" r:id="rId34" xr:uid="{8E232D8B-888C-4B8D-91D5-6F6022AFCFB9}"/>
    <hyperlink ref="N37" r:id="rId35" xr:uid="{9BD68064-1E42-44E2-8858-E8219FEA6ADE}"/>
    <hyperlink ref="N38" r:id="rId36" xr:uid="{677C7315-C594-4492-B57C-1C5D505DB5EB}"/>
    <hyperlink ref="N39" r:id="rId37" xr:uid="{88F1F464-34A4-4D28-86C3-C3F864637EFA}"/>
    <hyperlink ref="N40" r:id="rId38" xr:uid="{04916259-62EA-42B4-A38E-0B8CB58383AC}"/>
    <hyperlink ref="N42" r:id="rId39" xr:uid="{56F92723-72F0-401F-8F4F-53F7C34DB375}"/>
    <hyperlink ref="N43" r:id="rId40" xr:uid="{B5349DF3-41CA-431B-9038-750DFDFFEA62}"/>
    <hyperlink ref="N44" r:id="rId41" xr:uid="{39DF180C-F53B-4059-A422-135A559DB4EA}"/>
    <hyperlink ref="N45" r:id="rId42" xr:uid="{8B3FEE46-DBED-4B6D-8227-4D5825CA24F2}"/>
    <hyperlink ref="N46" r:id="rId43" xr:uid="{FDBD0A15-A013-4A34-970B-CE89D9D7ABA6}"/>
    <hyperlink ref="N47" r:id="rId44" xr:uid="{F506133E-6FD1-40B0-A371-3D473223A507}"/>
    <hyperlink ref="N49" r:id="rId45" xr:uid="{B0DD232C-EE20-4F71-8CCE-8F189BBCAE31}"/>
    <hyperlink ref="N50" r:id="rId46" xr:uid="{596E859F-3C1A-488D-8C6C-3B8F0C163E26}"/>
    <hyperlink ref="N51" r:id="rId47" xr:uid="{20EC973F-ABEE-4522-A536-3C9043FC0933}"/>
    <hyperlink ref="N54" r:id="rId48" display="LCSC" xr:uid="{340CB9D3-417A-4840-9FDD-D2D28278EF5B}"/>
    <hyperlink ref="N55" r:id="rId49" xr:uid="{AABF823B-413E-4EC2-B954-DF074731CAA7}"/>
    <hyperlink ref="N48" r:id="rId50" xr:uid="{1114458F-A78D-4A76-B1CF-305337F52263}"/>
    <hyperlink ref="N53" r:id="rId51" xr:uid="{1E96E8EA-3806-41F4-BDB9-DF5C3FCF6928}"/>
    <hyperlink ref="N41" r:id="rId52" xr:uid="{2F6C76CB-7AFF-4E6D-9732-3183EF2507E8}"/>
  </hyperlinks>
  <pageMargins left="0.7" right="0.7" top="0.75" bottom="0.75" header="0.3" footer="0.3"/>
  <pageSetup orientation="portrait" r:id="rId5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373C51-26EE-4B24-86FA-8126BA6427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P3:P54 P56:P57</xm:sqref>
        </x14:conditionalFormatting>
        <x14:conditionalFormatting xmlns:xm="http://schemas.microsoft.com/office/excel/2006/main">
          <x14:cfRule type="dataBar" id="{19B0CB15-0C97-4D9D-B36B-BDCECB480A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R3:R54 R56:R57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SM_Top_PCB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2021-07-08T12:50:28Z</dcterms:created>
  <dcterms:modified xsi:type="dcterms:W3CDTF">2021-07-15T08:03:53Z</dcterms:modified>
</cp:coreProperties>
</file>