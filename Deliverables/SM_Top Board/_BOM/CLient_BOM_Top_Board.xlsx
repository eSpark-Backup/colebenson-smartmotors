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GitHub\ColeBenson-SmartMotors\Deliverables\SM_Top Board\_BOM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4" i="1" l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<sst xmlns="http://schemas.openxmlformats.org/spreadsheetml/2006/main" count="609" uniqueCount="396">
  <si>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</si>
  <si>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</si>
  <si>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</si>
  <si>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</si>
  <si>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</si>
  <si>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</si>
  <si>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</si>
  <si>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</si>
  <si>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</si>
  <si>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C2, C13, C51, C52, C53, C54, C61, CF1, CF2</t>
  </si>
  <si>
    <t>C3</t>
  </si>
  <si>
    <t>C4, C46</t>
  </si>
  <si>
    <t>C5, C6, C14, C23, C24, C29, C34, C35, C56</t>
  </si>
  <si>
    <t>C7</t>
  </si>
  <si>
    <t>C8, C10, C11, C12</t>
  </si>
  <si>
    <t>C9</t>
  </si>
  <si>
    <t>C15, C20, C40</t>
  </si>
  <si>
    <t>C16, C18, C19, C21</t>
  </si>
  <si>
    <t>C17</t>
  </si>
  <si>
    <t>C22</t>
  </si>
  <si>
    <t>C25, C32</t>
  </si>
  <si>
    <t>C26, C27, C28, C31</t>
  </si>
  <si>
    <t>C30</t>
  </si>
  <si>
    <t>C33, C38, C39</t>
  </si>
  <si>
    <t>C36</t>
  </si>
  <si>
    <t>C37</t>
  </si>
  <si>
    <t>C41</t>
  </si>
  <si>
    <t>C42</t>
  </si>
  <si>
    <t>C43, C45, C47</t>
  </si>
  <si>
    <t>C44</t>
  </si>
  <si>
    <t>C48</t>
  </si>
  <si>
    <t>C49</t>
  </si>
  <si>
    <t>C50</t>
  </si>
  <si>
    <t>C55</t>
  </si>
  <si>
    <t>C57, C58, C59, C60</t>
  </si>
  <si>
    <t>D1</t>
  </si>
  <si>
    <t>D2</t>
  </si>
  <si>
    <t>D3</t>
  </si>
  <si>
    <t>D4, D5, D6, D7, D8, D9, D10, D11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</si>
  <si>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</si>
  <si>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</si>
  <si>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</si>
  <si>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</si>
  <si>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</si>
  <si>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</si>
  <si>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</si>
  <si>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</si>
  <si>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</si>
  <si>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</si>
  <si>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</si>
  <si>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</si>
  <si>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</si>
  <si>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Q2, Q3, Q4, Q5, Q6, Q7, Q8, Q9</t>
  </si>
  <si>
    <t>R1, R2</t>
  </si>
  <si>
    <t>R3</t>
  </si>
  <si>
    <t>R4</t>
  </si>
  <si>
    <t>R5, R32</t>
  </si>
  <si>
    <t>R6, R7, R8, R9</t>
  </si>
  <si>
    <t>R10, R11, R12, R13</t>
  </si>
  <si>
    <t>R14, R15, R16, R17, R18, R19, R20, R26</t>
  </si>
  <si>
    <t>R21</t>
  </si>
  <si>
    <t>R22</t>
  </si>
  <si>
    <t>R23</t>
  </si>
  <si>
    <t>R24</t>
  </si>
  <si>
    <t>R25</t>
  </si>
  <si>
    <t>R27</t>
  </si>
  <si>
    <t>R28</t>
  </si>
  <si>
    <t>R29</t>
  </si>
  <si>
    <t>R30</t>
  </si>
  <si>
    <t>R31</t>
  </si>
  <si>
    <t>R33, R46</t>
  </si>
  <si>
    <t>R34</t>
  </si>
  <si>
    <t>R35, R39</t>
  </si>
  <si>
    <t>R36</t>
  </si>
  <si>
    <t>R37</t>
  </si>
  <si>
    <t>R38</t>
  </si>
  <si>
    <t>R40</t>
  </si>
  <si>
    <t>R41</t>
  </si>
  <si>
    <t>R42, R43, R44, R45</t>
  </si>
  <si>
    <t>RF1, RF2, RF3, RF4</t>
  </si>
  <si>
    <t>SB1, SB2, SB3, SB4, SB5, SB6, SB7, SB8, SB9, SB10, SB11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</si>
  <si>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</si>
  <si>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</si>
  <si>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</si>
  <si>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</si>
  <si>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</si>
  <si>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</si>
  <si>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</si>
  <si>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</si>
  <si>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</si>
  <si>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</si>
  <si>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</si>
  <si>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</si>
  <si>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</si>
  <si>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</si>
  <si>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</si>
  <si>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</si>
  <si>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</si>
  <si>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</si>
  <si>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</si>
  <si>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10UF 25V X5R 0603</t>
  </si>
  <si>
    <t>CAP CER 0.082UF 50V X7R 0603</t>
  </si>
  <si>
    <t>CAP CER 0.1UF 100V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</si>
  <si>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</si>
  <si>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</si>
  <si>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</si>
  <si>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</si>
  <si>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220nF 35V 0805</t>
  </si>
  <si>
    <t>CAP CER 0.47uF 50V X7R 0603</t>
  </si>
  <si>
    <t>CAP CER 4.7UF 25V X5R 0603</t>
  </si>
  <si>
    <t>CAP CER 1000PF 100V X7R 0402</t>
  </si>
  <si>
    <t>CAP CER 2200PF 50V X7R 0603</t>
  </si>
  <si>
    <t>CAP CER 4.7UF 100V X7S 1210</t>
  </si>
  <si>
    <t>Surface Mount Ceramic Multilayer Capacitor 68pF 5% C0G 50V 0603 Paper T/R</t>
  </si>
  <si>
    <t>CAP CER 1206 47 uF 25 V ±20 % Tol. X5R</t>
  </si>
  <si>
    <t>CAP CER 0.02uF 50V X7R 10% SMD 0603 125°C Paper T/R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</si>
  <si>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</si>
  <si>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</si>
  <si>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</si>
  <si>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1UF 100V X7S 0805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</si>
  <si>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</si>
  <si>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</si>
  <si>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</si>
  <si>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</si>
  <si>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</si>
  <si>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</si>
  <si>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</si>
  <si>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</si>
  <si>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</si>
  <si>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</si>
  <si>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</si>
  <si>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</si>
  <si>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1A 15uH ±20% 190mΩ SMD Power Inductors ROHS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</si>
  <si>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</si>
  <si>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</si>
  <si>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</si>
  <si>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</si>
  <si>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</si>
  <si>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</si>
  <si>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</si>
  <si>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</si>
  <si>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</si>
  <si>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</si>
  <si>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</si>
  <si>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</si>
  <si>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</si>
  <si>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</si>
  <si>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</si>
  <si>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</si>
  <si>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</si>
  <si>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</si>
  <si>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</si>
  <si>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</si>
  <si>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</si>
  <si>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</si>
  <si>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100K OHM 0.1% 1/10W 0603</t>
  </si>
  <si>
    <t>RES SMD 51R 100mW 0603</t>
  </si>
  <si>
    <t>RES SMD 150 OHM 5% 1/20W 0201</t>
  </si>
  <si>
    <t>RES SMD 2K OHM 1% 1/10W 0603</t>
  </si>
  <si>
    <t>Res SMD 0603 51.1K Ohm 0.1% 1/10W</t>
  </si>
  <si>
    <t>RES SMD 1M OHM 1% 1/20W 0201</t>
  </si>
  <si>
    <t>Res SMD 0603 90.9K Ohm 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</si>
  <si>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</si>
  <si>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</si>
  <si>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</si>
  <si>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</si>
  <si>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</si>
  <si>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</si>
  <si>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</si>
  <si>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</si>
  <si>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</si>
  <si>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</si>
  <si>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</si>
  <si>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</si>
  <si>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</si>
  <si>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</si>
  <si>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</si>
  <si>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</si>
  <si>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</si>
  <si>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</si>
  <si>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UCD1H221MNL1GS</t>
  </si>
  <si>
    <t>Cap 0603</t>
  </si>
  <si>
    <t>Cap 0402</t>
  </si>
  <si>
    <t>Cap0805</t>
  </si>
  <si>
    <t>VKME1451J221MV</t>
  </si>
  <si>
    <t>Cap1210</t>
  </si>
  <si>
    <t>Cap1206</t>
  </si>
  <si>
    <t>CAP- 2917</t>
  </si>
  <si>
    <t>VT1H471MI135000CE0</t>
  </si>
  <si>
    <t>CUS10S30,H3F</t>
  </si>
  <si>
    <t>SMA</t>
  </si>
  <si>
    <t>SOD-123W</t>
  </si>
  <si>
    <t>0685H9150-01</t>
  </si>
  <si>
    <t>MPZ1608S121ATDH5</t>
  </si>
  <si>
    <t>MC-318</t>
  </si>
  <si>
    <t>5520425-2</t>
  </si>
  <si>
    <t>M55-7012642R</t>
  </si>
  <si>
    <t>B4B-XH-A(LF)(SN)</t>
  </si>
  <si>
    <t>SLF12575T-221M1R3-PF</t>
  </si>
  <si>
    <t>MPIT4018-150M-LF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</si>
  <si>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</si>
  <si>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</si>
  <si>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</si>
  <si>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</si>
  <si>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</si>
  <si>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</si>
  <si>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</si>
  <si>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</si>
  <si>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Res-0201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</si>
  <si>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</si>
  <si>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</si>
  <si>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</si>
  <si>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</si>
  <si>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</si>
  <si>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</si>
  <si>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</si>
  <si>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</si>
  <si>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</si>
  <si>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</si>
  <si>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ISO7741QDBQQ1</t>
  </si>
  <si>
    <t>MAX14850ASE+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</si>
  <si>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</si>
  <si>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</si>
  <si>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</si>
  <si>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</si>
  <si>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</si>
  <si>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</si>
  <si>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</si>
  <si>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CL10A106MA8NRNC</t>
  </si>
  <si>
    <t>CC0603KRX7R9BB823</t>
  </si>
  <si>
    <t>CC0603KRX7R0BB104</t>
  </si>
  <si>
    <t>08051C224K4T2A</t>
  </si>
  <si>
    <t>CGA3E2X7R2A223K080AA</t>
  </si>
  <si>
    <t>CL05B104KB54PNC</t>
  </si>
  <si>
    <t>GMK212BJ224KGHT</t>
  </si>
  <si>
    <t>UMK107B7474KA-TR</t>
  </si>
  <si>
    <t>CL10A475KA8NQNC</t>
  </si>
  <si>
    <t>CC0603KRX7R9BB222</t>
  </si>
  <si>
    <t>HMK325C7475KN-TE</t>
  </si>
  <si>
    <t>CC0603JRNPO9BN680</t>
  </si>
  <si>
    <t>GRM31CR61E476ME44L</t>
  </si>
  <si>
    <t>CC0603KRX7R9BB203</t>
  </si>
  <si>
    <t>TAJE107M025RNJ</t>
  </si>
  <si>
    <t>CC0603KRX7R9BB471</t>
  </si>
  <si>
    <t>C2012X7S2A105K125AB</t>
  </si>
  <si>
    <t>CL10B102KC8NNNC</t>
  </si>
  <si>
    <t>PMEG3010ER,115</t>
  </si>
  <si>
    <t>XZVG68W-2</t>
  </si>
  <si>
    <t>BSC072N08NS5ATMA1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</si>
  <si>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</si>
  <si>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</si>
  <si>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</si>
  <si>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</si>
  <si>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</si>
  <si>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</si>
  <si>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</si>
  <si>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</si>
  <si>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</si>
  <si>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</si>
  <si>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</si>
  <si>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</si>
  <si>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</si>
  <si>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RT0603FRE07127KL</t>
  </si>
  <si>
    <t>RC0603JR-07100KL</t>
  </si>
  <si>
    <t>RT0603BRD07100KL</t>
  </si>
  <si>
    <t>RC0603FR-0751RL</t>
  </si>
  <si>
    <t>CRCW0201150RJNED</t>
  </si>
  <si>
    <t>RC0603FR-072KL</t>
  </si>
  <si>
    <t>ERA-3AEB5112V</t>
  </si>
  <si>
    <t>RC0201FR-071ML</t>
  </si>
  <si>
    <t>ERJ-3EKF9092V</t>
  </si>
  <si>
    <t>RC0603FR-071KL</t>
  </si>
  <si>
    <t>RC0603FR-0710KL</t>
  </si>
  <si>
    <t>NCP708MU330TAG</t>
  </si>
  <si>
    <t>LM43603PWPR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</si>
  <si>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</si>
  <si>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</si>
  <si>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</si>
  <si>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</si>
  <si>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</si>
  <si>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</si>
  <si>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</si>
  <si>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</si>
  <si>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</si>
  <si>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</si>
  <si>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</si>
  <si>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</si>
  <si>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</si>
  <si>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</si>
  <si>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</si>
  <si>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</si>
  <si>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</si>
  <si>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</si>
  <si>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</si>
  <si>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</si>
  <si>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</si>
  <si>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</si>
  <si>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microgate</t>
  </si>
  <si>
    <t>Vishay Lite-On</t>
  </si>
  <si>
    <t>SunLED</t>
  </si>
  <si>
    <t>SparkFun</t>
  </si>
  <si>
    <t>Infineon</t>
  </si>
  <si>
    <t>FH</t>
  </si>
  <si>
    <t>Ever Ohms Tech</t>
  </si>
  <si>
    <t>Panasonic</t>
  </si>
  <si>
    <t>Vishay Dale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</si>
  <si>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</si>
  <si>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</si>
  <si>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</si>
  <si>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</si>
  <si>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</si>
  <si>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</si>
  <si>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</si>
  <si>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</si>
  <si>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</si>
  <si>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</si>
  <si>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</si>
  <si>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</si>
  <si>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</si>
  <si>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</si>
  <si>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</si>
  <si>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</si>
  <si>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</si>
  <si>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</si>
  <si>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</si>
  <si>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</si>
  <si>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</si>
  <si>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</si>
  <si>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</si>
  <si>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4.7uF</t>
  </si>
  <si>
    <t>68pF</t>
  </si>
  <si>
    <t>47uF</t>
  </si>
  <si>
    <t>20nF</t>
  </si>
  <si>
    <t>100uF</t>
  </si>
  <si>
    <t>470uF</t>
  </si>
  <si>
    <t>470pF</t>
  </si>
  <si>
    <t>1nF</t>
  </si>
  <si>
    <t>SSL110A</t>
  </si>
  <si>
    <t>SS24A</t>
  </si>
  <si>
    <t>220uH</t>
  </si>
  <si>
    <t>15uH</t>
  </si>
  <si>
    <t>Test Point</t>
  </si>
  <si>
    <t>5.1K</t>
  </si>
  <si>
    <t>3.9K</t>
  </si>
  <si>
    <t>7.87k</t>
  </si>
  <si>
    <t>0R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</si>
  <si>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</si>
  <si>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</si>
  <si>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</si>
  <si>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</si>
  <si>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</si>
  <si>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</si>
  <si>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</si>
  <si>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</si>
  <si>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</si>
  <si>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</si>
  <si>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</si>
  <si>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</si>
  <si>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</si>
  <si>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</si>
  <si>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</si>
  <si>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1M</t>
  </si>
  <si>
    <t>90.9K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</si>
  <si>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</si>
  <si>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</si>
  <si>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</si>
  <si>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</si>
  <si>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</si>
  <si>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</si>
  <si>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</si>
  <si>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</si>
  <si>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</si>
  <si>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</si>
  <si>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</si>
  <si>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</si>
  <si>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--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</si>
  <si>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</si>
  <si>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</si>
  <si>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</si>
  <si>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</si>
  <si>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</si>
  <si>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</si>
  <si>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</si>
  <si>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</si>
  <si>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</si>
  <si>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</si>
  <si>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</si>
  <si>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</si>
  <si>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</si>
  <si>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</si>
  <si>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CRH2512FR033E04Z</t>
  </si>
  <si>
    <t>0603WAF1201T5E</t>
  </si>
  <si>
    <t>RTT03R330FTP</t>
  </si>
  <si>
    <t>Top_Board</t>
  </si>
  <si>
    <t>Smart Motors</t>
  </si>
  <si>
    <t>Bill of Materials for Project (Smart Motors)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</si>
</sst>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6"/>
  <sheetViews>
    <sheetView tabSelected="1" workbookViewId="0">
      <selection activeCell="G25" sqref="G25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30.140625" customWidth="1"/>
    <col min="7" max="7" width="33.42578125" bestFit="1" customWidth="1"/>
    <col min="8" max="8" width="21.42578125" bestFit="1" customWidth="1"/>
    <col min="9" max="9" width="9.71093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62"/>
      <c r="J1" s="62"/>
      <c r="K1" s="62"/>
    </row>
    <row r="2" spans="1:11" ht="32.25" thickBot="1" x14ac:dyDescent="0.3">
      <c r="A2" s="1"/>
      <c r="B2" s="20"/>
      <c r="C2" s="46"/>
      <c r="D2" s="10" t="s">
        <v>0</v>
      </c>
      <c r="E2" s="10"/>
      <c r="F2" s="54" t="s">
        <v>395</v>
      </c>
      <c r="G2" s="11"/>
      <c r="H2" s="3"/>
      <c r="I2" s="3"/>
      <c r="J2" s="3"/>
      <c r="K2" s="43"/>
    </row>
    <row r="3" spans="1:11" x14ac:dyDescent="0.25">
      <c r="A3" s="1"/>
      <c r="B3" s="21"/>
      <c r="C3" s="47"/>
      <c r="D3" s="12" t="s">
        <v>1</v>
      </c>
      <c r="E3" s="12"/>
      <c r="F3" s="55" t="s">
        <v>393</v>
      </c>
      <c r="G3" s="12"/>
      <c r="H3" s="4"/>
      <c r="I3" s="4"/>
      <c r="J3" s="4"/>
      <c r="K3" s="63"/>
    </row>
    <row r="4" spans="1:11" x14ac:dyDescent="0.25">
      <c r="A4" s="1"/>
      <c r="B4" s="21"/>
      <c r="C4" s="47"/>
      <c r="D4" s="12" t="s">
        <v>2</v>
      </c>
      <c r="E4" s="12"/>
      <c r="F4" s="56" t="s">
        <v>394</v>
      </c>
      <c r="G4" s="13"/>
      <c r="H4" s="6"/>
      <c r="I4" s="6"/>
      <c r="J4" s="6"/>
      <c r="K4" s="64"/>
    </row>
    <row r="5" spans="1:11" x14ac:dyDescent="0.25">
      <c r="A5" s="1"/>
      <c r="B5" s="21"/>
      <c r="C5" s="47"/>
      <c r="D5" s="12" t="s">
        <v>3</v>
      </c>
      <c r="E5" s="12"/>
      <c r="F5" s="57"/>
      <c r="G5" s="14"/>
      <c r="H5" s="5"/>
      <c r="I5" s="5"/>
      <c r="J5" s="5"/>
      <c r="K5" s="64"/>
    </row>
    <row r="6" spans="1:11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64"/>
    </row>
    <row r="7" spans="1:11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64"/>
    </row>
    <row r="8" spans="1:11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64"/>
    </row>
    <row r="9" spans="1:11" ht="15.75" thickBot="1" x14ac:dyDescent="0.3">
      <c r="A9" s="1"/>
      <c r="B9" s="29" t="s">
        <v>4</v>
      </c>
      <c r="C9" s="29" t="s">
        <v>386</v>
      </c>
      <c r="D9" s="29" t="s">
        <v>7</v>
      </c>
      <c r="E9" s="30" t="s">
        <v>93</v>
      </c>
      <c r="F9" s="29" t="s">
        <v>179</v>
      </c>
      <c r="G9" s="30" t="s">
        <v>222</v>
      </c>
      <c r="H9" s="29" t="s">
        <v>278</v>
      </c>
      <c r="I9" s="30" t="s">
        <v>314</v>
      </c>
      <c r="J9" s="29" t="s">
        <v>367</v>
      </c>
      <c r="K9" s="31" t="s">
        <v>376</v>
      </c>
    </row>
    <row r="10" spans="1:11" ht="15.75" thickBot="1" x14ac:dyDescent="0.3">
      <c r="A10" s="1"/>
      <c r="B10" s="53">
        <f>ROW(B10) - ROW($B$9)</f>
        <v>1</v>
      </c>
      <c r="C10" s="59" t="s">
        <v>377</v>
      </c>
      <c r="D10" s="37" t="s">
        <v>8</v>
      </c>
      <c r="E10" s="38" t="s">
        <v>94</v>
      </c>
      <c r="F10" s="37" t="s">
        <v>368</v>
      </c>
      <c r="G10" s="38" t="s">
        <v>180</v>
      </c>
      <c r="H10" s="37" t="s">
        <v>279</v>
      </c>
      <c r="I10" s="38" t="s">
        <v>315</v>
      </c>
      <c r="J10" s="37">
        <v>1</v>
      </c>
      <c r="K10" s="41"/>
    </row>
    <row r="11" spans="1:11" ht="24.75" thickBot="1" x14ac:dyDescent="0.3">
      <c r="A11" s="1"/>
      <c r="B11" s="53">
        <f t="shared" ref="B11:B93" si="0">ROW(B11) - ROW($B$9)</f>
        <v>2</v>
      </c>
      <c r="C11" s="60" t="s">
        <v>377</v>
      </c>
      <c r="D11" s="39" t="s">
        <v>9</v>
      </c>
      <c r="E11" s="40" t="s">
        <v>95</v>
      </c>
      <c r="F11" s="39" t="s">
        <v>181</v>
      </c>
      <c r="G11" s="40" t="s">
        <v>223</v>
      </c>
      <c r="H11" s="39" t="s">
        <v>280</v>
      </c>
      <c r="I11" s="40" t="s">
        <v>316</v>
      </c>
      <c r="J11" s="39">
        <v>9</v>
      </c>
      <c r="K11" s="42"/>
    </row>
    <row r="12" spans="1:11" ht="15.75" thickBot="1" x14ac:dyDescent="0.3">
      <c r="A12" s="1"/>
      <c r="B12" s="53">
        <f>ROW(B12) - ROW($B$9)</f>
        <v>3</v>
      </c>
      <c r="C12" s="61" t="s">
        <v>377</v>
      </c>
      <c r="D12" s="37" t="s">
        <v>10</v>
      </c>
      <c r="E12" s="38" t="s">
        <v>96</v>
      </c>
      <c r="F12" s="37" t="s">
        <v>182</v>
      </c>
      <c r="G12" s="38" t="s">
        <v>224</v>
      </c>
      <c r="H12" s="37" t="s">
        <v>281</v>
      </c>
      <c r="I12" s="38" t="s">
        <v>317</v>
      </c>
      <c r="J12" s="37">
        <v>1</v>
      </c>
      <c r="K12" s="41"/>
    </row>
    <row r="13" spans="1:11" ht="15.75" thickBot="1" x14ac:dyDescent="0.3">
      <c r="A13" s="1"/>
      <c r="B13" s="53">
        <f t="shared" si="0"/>
        <v>4</v>
      </c>
      <c r="C13" s="60" t="s">
        <v>377</v>
      </c>
      <c r="D13" s="39" t="s">
        <v>11</v>
      </c>
      <c r="E13" s="40" t="s">
        <v>97</v>
      </c>
      <c r="F13" s="39" t="s">
        <v>182</v>
      </c>
      <c r="G13" s="40" t="s">
        <v>225</v>
      </c>
      <c r="H13" s="39" t="s">
        <v>282</v>
      </c>
      <c r="I13" s="40" t="s">
        <v>318</v>
      </c>
      <c r="J13" s="39">
        <v>2</v>
      </c>
      <c r="K13" s="42"/>
    </row>
    <row r="14" spans="1:11" ht="15.75" thickBot="1" x14ac:dyDescent="0.3">
      <c r="A14" s="1"/>
      <c r="B14" s="53">
        <f>ROW(B14) - ROW($B$9)</f>
        <v>5</v>
      </c>
      <c r="C14" s="61" t="s">
        <v>377</v>
      </c>
      <c r="D14" s="37" t="s">
        <v>12</v>
      </c>
      <c r="E14" s="38" t="s">
        <v>98</v>
      </c>
      <c r="F14" s="37" t="s">
        <v>181</v>
      </c>
      <c r="G14" s="38" t="s">
        <v>226</v>
      </c>
      <c r="H14" s="37" t="s">
        <v>283</v>
      </c>
      <c r="I14" s="38" t="s">
        <v>319</v>
      </c>
      <c r="J14" s="37">
        <v>9</v>
      </c>
      <c r="K14" s="41"/>
    </row>
    <row r="15" spans="1:11" ht="15.75" thickBot="1" x14ac:dyDescent="0.3">
      <c r="A15" s="1"/>
      <c r="B15" s="53">
        <f t="shared" si="0"/>
        <v>6</v>
      </c>
      <c r="C15" s="60" t="s">
        <v>377</v>
      </c>
      <c r="D15" s="39" t="s">
        <v>13</v>
      </c>
      <c r="E15" s="40" t="s">
        <v>99</v>
      </c>
      <c r="F15" s="39" t="s">
        <v>181</v>
      </c>
      <c r="G15" s="40" t="s">
        <v>227</v>
      </c>
      <c r="H15" s="39" t="s">
        <v>281</v>
      </c>
      <c r="I15" s="40" t="s">
        <v>320</v>
      </c>
      <c r="J15" s="39">
        <v>1</v>
      </c>
      <c r="K15" s="42"/>
    </row>
    <row r="16" spans="1:11" ht="15.75" thickBot="1" x14ac:dyDescent="0.3">
      <c r="A16" s="1"/>
      <c r="B16" s="53">
        <f>ROW(B16) - ROW($B$9)</f>
        <v>7</v>
      </c>
      <c r="C16" s="61" t="s">
        <v>377</v>
      </c>
      <c r="D16" s="37" t="s">
        <v>14</v>
      </c>
      <c r="E16" s="38" t="s">
        <v>100</v>
      </c>
      <c r="F16" s="37" t="s">
        <v>181</v>
      </c>
      <c r="G16" s="38" t="s">
        <v>228</v>
      </c>
      <c r="H16" s="37" t="s">
        <v>280</v>
      </c>
      <c r="I16" s="38" t="s">
        <v>321</v>
      </c>
      <c r="J16" s="37">
        <v>4</v>
      </c>
      <c r="K16" s="41"/>
    </row>
    <row r="17" spans="1:11" ht="15.75" thickBot="1" x14ac:dyDescent="0.3">
      <c r="A17" s="1"/>
      <c r="B17" s="53">
        <f t="shared" si="0"/>
        <v>8</v>
      </c>
      <c r="C17" s="60" t="s">
        <v>377</v>
      </c>
      <c r="D17" s="39" t="s">
        <v>15</v>
      </c>
      <c r="E17" s="40" t="s">
        <v>101</v>
      </c>
      <c r="F17" s="39" t="s">
        <v>181</v>
      </c>
      <c r="G17" s="40" t="s">
        <v>229</v>
      </c>
      <c r="H17" s="39" t="s">
        <v>281</v>
      </c>
      <c r="I17" s="40" t="s">
        <v>322</v>
      </c>
      <c r="J17" s="39">
        <v>1</v>
      </c>
      <c r="K17" s="42"/>
    </row>
    <row r="18" spans="1:11" ht="15.75" thickBot="1" x14ac:dyDescent="0.3">
      <c r="A18" s="1"/>
      <c r="B18" s="53">
        <f>ROW(B18) - ROW($B$9)</f>
        <v>9</v>
      </c>
      <c r="C18" s="61" t="s">
        <v>377</v>
      </c>
      <c r="D18" s="37" t="s">
        <v>16</v>
      </c>
      <c r="E18" s="38" t="s">
        <v>102</v>
      </c>
      <c r="F18" s="37" t="s">
        <v>181</v>
      </c>
      <c r="G18" s="38" t="s">
        <v>230</v>
      </c>
      <c r="H18" s="37" t="s">
        <v>281</v>
      </c>
      <c r="I18" s="38" t="s">
        <v>316</v>
      </c>
      <c r="J18" s="37">
        <v>3</v>
      </c>
      <c r="K18" s="41"/>
    </row>
    <row r="19" spans="1:11" ht="24.75" thickBot="1" x14ac:dyDescent="0.3">
      <c r="A19" s="1"/>
      <c r="B19" s="53">
        <f t="shared" si="0"/>
        <v>10</v>
      </c>
      <c r="C19" s="60" t="s">
        <v>377</v>
      </c>
      <c r="D19" s="39" t="s">
        <v>17</v>
      </c>
      <c r="E19" s="40" t="s">
        <v>103</v>
      </c>
      <c r="F19" s="39" t="s">
        <v>183</v>
      </c>
      <c r="G19" s="40" t="s">
        <v>231</v>
      </c>
      <c r="H19" s="39" t="s">
        <v>284</v>
      </c>
      <c r="I19" s="40" t="s">
        <v>323</v>
      </c>
      <c r="J19" s="39">
        <v>4</v>
      </c>
      <c r="K19" s="42"/>
    </row>
    <row r="20" spans="1:11" ht="24.75" thickBot="1" x14ac:dyDescent="0.3">
      <c r="A20" s="1"/>
      <c r="B20" s="53">
        <f>ROW(B20) - ROW($B$9)</f>
        <v>11</v>
      </c>
      <c r="C20" s="61" t="s">
        <v>377</v>
      </c>
      <c r="D20" s="37" t="s">
        <v>18</v>
      </c>
      <c r="E20" s="38" t="s">
        <v>104</v>
      </c>
      <c r="F20" s="37" t="s">
        <v>181</v>
      </c>
      <c r="G20" s="38" t="s">
        <v>232</v>
      </c>
      <c r="H20" s="37" t="s">
        <v>285</v>
      </c>
      <c r="I20" s="38" t="s">
        <v>324</v>
      </c>
      <c r="J20" s="37">
        <v>1</v>
      </c>
      <c r="K20" s="41"/>
    </row>
    <row r="21" spans="1:11" ht="48.75" thickBot="1" x14ac:dyDescent="0.3">
      <c r="A21" s="1"/>
      <c r="B21" s="53">
        <f t="shared" si="0"/>
        <v>12</v>
      </c>
      <c r="C21" s="60" t="s">
        <v>377</v>
      </c>
      <c r="D21" s="39" t="s">
        <v>19</v>
      </c>
      <c r="E21" s="40" t="s">
        <v>105</v>
      </c>
      <c r="F21" s="39" t="s">
        <v>368</v>
      </c>
      <c r="G21" s="39" t="s">
        <v>184</v>
      </c>
      <c r="H21" s="39" t="s">
        <v>286</v>
      </c>
      <c r="I21" s="40" t="s">
        <v>315</v>
      </c>
      <c r="J21" s="39">
        <v>1</v>
      </c>
      <c r="K21" s="42"/>
    </row>
    <row r="22" spans="1:11" ht="15.75" thickBot="1" x14ac:dyDescent="0.3">
      <c r="A22" s="1"/>
      <c r="B22" s="53">
        <f>ROW(B22) - ROW($B$9)</f>
        <v>13</v>
      </c>
      <c r="C22" s="61" t="s">
        <v>377</v>
      </c>
      <c r="D22" s="37" t="s">
        <v>20</v>
      </c>
      <c r="E22" s="38" t="s">
        <v>106</v>
      </c>
      <c r="F22" s="37" t="s">
        <v>182</v>
      </c>
      <c r="G22" s="38" t="s">
        <v>233</v>
      </c>
      <c r="H22" s="37" t="s">
        <v>280</v>
      </c>
      <c r="I22" s="38" t="s">
        <v>325</v>
      </c>
      <c r="J22" s="37">
        <v>2</v>
      </c>
      <c r="K22" s="41"/>
    </row>
    <row r="23" spans="1:11" ht="15.75" thickBot="1" x14ac:dyDescent="0.3">
      <c r="A23" s="1"/>
      <c r="B23" s="53">
        <f t="shared" si="0"/>
        <v>14</v>
      </c>
      <c r="C23" s="60" t="s">
        <v>377</v>
      </c>
      <c r="D23" s="39" t="s">
        <v>21</v>
      </c>
      <c r="E23" s="40" t="s">
        <v>107</v>
      </c>
      <c r="F23" s="39" t="s">
        <v>183</v>
      </c>
      <c r="G23" s="40" t="s">
        <v>234</v>
      </c>
      <c r="H23" s="39" t="s">
        <v>282</v>
      </c>
      <c r="I23" s="40" t="s">
        <v>323</v>
      </c>
      <c r="J23" s="39">
        <v>4</v>
      </c>
      <c r="K23" s="42"/>
    </row>
    <row r="24" spans="1:11" ht="15.75" thickBot="1" x14ac:dyDescent="0.3">
      <c r="A24" s="1"/>
      <c r="B24" s="53">
        <f>ROW(B24) - ROW($B$9)</f>
        <v>15</v>
      </c>
      <c r="C24" s="61" t="s">
        <v>377</v>
      </c>
      <c r="D24" s="37" t="s">
        <v>22</v>
      </c>
      <c r="E24" s="38" t="s">
        <v>108</v>
      </c>
      <c r="F24" s="37" t="s">
        <v>181</v>
      </c>
      <c r="G24" s="38" t="s">
        <v>235</v>
      </c>
      <c r="H24" s="37" t="s">
        <v>282</v>
      </c>
      <c r="I24" s="38" t="s">
        <v>318</v>
      </c>
      <c r="J24" s="37">
        <v>1</v>
      </c>
      <c r="K24" s="41"/>
    </row>
    <row r="25" spans="1:11" ht="15.75" thickBot="1" x14ac:dyDescent="0.3">
      <c r="A25" s="1"/>
      <c r="B25" s="53">
        <f t="shared" si="0"/>
        <v>16</v>
      </c>
      <c r="C25" s="60" t="s">
        <v>377</v>
      </c>
      <c r="D25" s="39" t="s">
        <v>23</v>
      </c>
      <c r="E25" s="40" t="s">
        <v>109</v>
      </c>
      <c r="F25" s="39" t="s">
        <v>181</v>
      </c>
      <c r="G25" s="40" t="s">
        <v>236</v>
      </c>
      <c r="H25" s="39" t="s">
        <v>280</v>
      </c>
      <c r="I25" s="40" t="s">
        <v>326</v>
      </c>
      <c r="J25" s="39">
        <v>3</v>
      </c>
      <c r="K25" s="42"/>
    </row>
    <row r="26" spans="1:11" ht="15.75" thickBot="1" x14ac:dyDescent="0.3">
      <c r="A26" s="1"/>
      <c r="B26" s="53">
        <f>ROW(B26) - ROW($B$9)</f>
        <v>17</v>
      </c>
      <c r="C26" s="61" t="s">
        <v>377</v>
      </c>
      <c r="D26" s="37" t="s">
        <v>24</v>
      </c>
      <c r="E26" s="38" t="s">
        <v>110</v>
      </c>
      <c r="F26" s="37" t="s">
        <v>182</v>
      </c>
      <c r="G26" s="38">
        <v>885012205080</v>
      </c>
      <c r="H26" s="37" t="s">
        <v>287</v>
      </c>
      <c r="I26" s="38" t="s">
        <v>327</v>
      </c>
      <c r="J26" s="37">
        <v>1</v>
      </c>
      <c r="K26" s="41"/>
    </row>
    <row r="27" spans="1:11" ht="15.75" thickBot="1" x14ac:dyDescent="0.3">
      <c r="A27" s="1"/>
      <c r="B27" s="53">
        <f t="shared" si="0"/>
        <v>18</v>
      </c>
      <c r="C27" s="60" t="s">
        <v>377</v>
      </c>
      <c r="D27" s="39" t="s">
        <v>25</v>
      </c>
      <c r="E27" s="40" t="s">
        <v>111</v>
      </c>
      <c r="F27" s="39" t="s">
        <v>181</v>
      </c>
      <c r="G27" s="40" t="s">
        <v>237</v>
      </c>
      <c r="H27" s="39" t="s">
        <v>281</v>
      </c>
      <c r="I27" s="40" t="s">
        <v>328</v>
      </c>
      <c r="J27" s="39">
        <v>1</v>
      </c>
      <c r="K27" s="42"/>
    </row>
    <row r="28" spans="1:11" ht="15.75" thickBot="1" x14ac:dyDescent="0.3">
      <c r="A28" s="1"/>
      <c r="B28" s="53">
        <f>ROW(B28) - ROW($B$9)</f>
        <v>19</v>
      </c>
      <c r="C28" s="61" t="s">
        <v>377</v>
      </c>
      <c r="D28" s="37" t="s">
        <v>26</v>
      </c>
      <c r="E28" s="38" t="s">
        <v>112</v>
      </c>
      <c r="F28" s="37" t="s">
        <v>185</v>
      </c>
      <c r="G28" s="38" t="s">
        <v>238</v>
      </c>
      <c r="H28" s="37" t="s">
        <v>282</v>
      </c>
      <c r="I28" s="38" t="s">
        <v>329</v>
      </c>
      <c r="J28" s="37">
        <v>1</v>
      </c>
      <c r="K28" s="41"/>
    </row>
    <row r="29" spans="1:11" ht="36.75" thickBot="1" x14ac:dyDescent="0.3">
      <c r="A29" s="1"/>
      <c r="B29" s="53">
        <f t="shared" si="0"/>
        <v>20</v>
      </c>
      <c r="C29" s="60" t="s">
        <v>377</v>
      </c>
      <c r="D29" s="39" t="s">
        <v>27</v>
      </c>
      <c r="E29" s="40" t="s">
        <v>113</v>
      </c>
      <c r="F29" s="39" t="s">
        <v>181</v>
      </c>
      <c r="G29" s="40" t="s">
        <v>239</v>
      </c>
      <c r="H29" s="39" t="s">
        <v>281</v>
      </c>
      <c r="I29" s="40" t="s">
        <v>330</v>
      </c>
      <c r="J29" s="39">
        <v>1</v>
      </c>
      <c r="K29" s="42"/>
    </row>
    <row r="30" spans="1:11" ht="24.75" thickBot="1" x14ac:dyDescent="0.3">
      <c r="A30" s="1"/>
      <c r="B30" s="53">
        <f>ROW(B30) - ROW($B$9)</f>
        <v>21</v>
      </c>
      <c r="C30" s="61" t="s">
        <v>377</v>
      </c>
      <c r="D30" s="37" t="s">
        <v>28</v>
      </c>
      <c r="E30" s="38" t="s">
        <v>114</v>
      </c>
      <c r="F30" s="37" t="s">
        <v>186</v>
      </c>
      <c r="G30" s="38" t="s">
        <v>240</v>
      </c>
      <c r="H30" s="37" t="s">
        <v>283</v>
      </c>
      <c r="I30" s="38" t="s">
        <v>331</v>
      </c>
      <c r="J30" s="37">
        <v>3</v>
      </c>
      <c r="K30" s="41"/>
    </row>
    <row r="31" spans="1:11" ht="24.75" thickBot="1" x14ac:dyDescent="0.3">
      <c r="A31" s="1"/>
      <c r="B31" s="53">
        <f t="shared" si="0"/>
        <v>22</v>
      </c>
      <c r="C31" s="60" t="s">
        <v>377</v>
      </c>
      <c r="D31" s="39" t="s">
        <v>29</v>
      </c>
      <c r="E31" s="40" t="s">
        <v>115</v>
      </c>
      <c r="F31" s="39" t="s">
        <v>181</v>
      </c>
      <c r="G31" s="40" t="s">
        <v>241</v>
      </c>
      <c r="H31" s="39" t="s">
        <v>281</v>
      </c>
      <c r="I31" s="40" t="s">
        <v>332</v>
      </c>
      <c r="J31" s="39">
        <v>1</v>
      </c>
      <c r="K31" s="42"/>
    </row>
    <row r="32" spans="1:11" ht="15.75" thickBot="1" x14ac:dyDescent="0.3">
      <c r="A32" s="1"/>
      <c r="B32" s="53">
        <f>ROW(B32) - ROW($B$9)</f>
        <v>23</v>
      </c>
      <c r="C32" s="61" t="s">
        <v>377</v>
      </c>
      <c r="D32" s="37" t="s">
        <v>30</v>
      </c>
      <c r="E32" s="38" t="s">
        <v>116</v>
      </c>
      <c r="F32" s="37" t="s">
        <v>187</v>
      </c>
      <c r="G32" s="38" t="s">
        <v>242</v>
      </c>
      <c r="H32" s="37" t="s">
        <v>284</v>
      </c>
      <c r="I32" s="38" t="s">
        <v>333</v>
      </c>
      <c r="J32" s="37">
        <v>1</v>
      </c>
      <c r="K32" s="41"/>
    </row>
    <row r="33" spans="1:11" ht="48.75" thickBot="1" x14ac:dyDescent="0.3">
      <c r="A33" s="1"/>
      <c r="B33" s="53">
        <f t="shared" si="0"/>
        <v>24</v>
      </c>
      <c r="C33" s="60" t="s">
        <v>377</v>
      </c>
      <c r="D33" s="39" t="s">
        <v>31</v>
      </c>
      <c r="E33" s="40" t="s">
        <v>117</v>
      </c>
      <c r="F33" s="39" t="s">
        <v>368</v>
      </c>
      <c r="G33" s="39" t="s">
        <v>188</v>
      </c>
      <c r="H33" s="39" t="s">
        <v>288</v>
      </c>
      <c r="I33" s="40" t="s">
        <v>334</v>
      </c>
      <c r="J33" s="39">
        <v>1</v>
      </c>
      <c r="K33" s="42"/>
    </row>
    <row r="34" spans="1:11" ht="15.75" thickBot="1" x14ac:dyDescent="0.3">
      <c r="A34" s="1"/>
      <c r="B34" s="53">
        <f>ROW(B34) - ROW($B$9)</f>
        <v>25</v>
      </c>
      <c r="C34" s="61" t="s">
        <v>377</v>
      </c>
      <c r="D34" s="37" t="s">
        <v>32</v>
      </c>
      <c r="E34" s="38" t="s">
        <v>118</v>
      </c>
      <c r="F34" s="37" t="s">
        <v>181</v>
      </c>
      <c r="G34" s="38" t="s">
        <v>243</v>
      </c>
      <c r="H34" s="37" t="s">
        <v>281</v>
      </c>
      <c r="I34" s="38" t="s">
        <v>335</v>
      </c>
      <c r="J34" s="37">
        <v>1</v>
      </c>
      <c r="K34" s="41"/>
    </row>
    <row r="35" spans="1:11" ht="15.75" thickBot="1" x14ac:dyDescent="0.3">
      <c r="A35" s="1"/>
      <c r="B35" s="53">
        <f t="shared" si="0"/>
        <v>26</v>
      </c>
      <c r="C35" s="60" t="s">
        <v>377</v>
      </c>
      <c r="D35" s="39" t="s">
        <v>33</v>
      </c>
      <c r="E35" s="40" t="s">
        <v>119</v>
      </c>
      <c r="F35" s="39" t="s">
        <v>183</v>
      </c>
      <c r="G35" s="40" t="s">
        <v>244</v>
      </c>
      <c r="H35" s="39" t="s">
        <v>285</v>
      </c>
      <c r="I35" s="40" t="s">
        <v>320</v>
      </c>
      <c r="J35" s="39">
        <v>1</v>
      </c>
      <c r="K35" s="42"/>
    </row>
    <row r="36" spans="1:11" ht="15.75" thickBot="1" x14ac:dyDescent="0.3">
      <c r="A36" s="1"/>
      <c r="B36" s="53">
        <f>ROW(B36) - ROW($B$9)</f>
        <v>27</v>
      </c>
      <c r="C36" s="61" t="s">
        <v>377</v>
      </c>
      <c r="D36" s="37" t="s">
        <v>34</v>
      </c>
      <c r="E36" s="38" t="s">
        <v>120</v>
      </c>
      <c r="F36" s="37" t="s">
        <v>181</v>
      </c>
      <c r="G36" s="38" t="s">
        <v>245</v>
      </c>
      <c r="H36" s="37" t="s">
        <v>280</v>
      </c>
      <c r="I36" s="38" t="s">
        <v>336</v>
      </c>
      <c r="J36" s="37">
        <v>4</v>
      </c>
      <c r="K36" s="41"/>
    </row>
    <row r="37" spans="1:11" ht="24.75" thickBot="1" x14ac:dyDescent="0.3">
      <c r="A37" s="1"/>
      <c r="B37" s="53">
        <f t="shared" si="0"/>
        <v>28</v>
      </c>
      <c r="C37" s="60" t="s">
        <v>378</v>
      </c>
      <c r="D37" s="39" t="s">
        <v>35</v>
      </c>
      <c r="E37" s="40" t="s">
        <v>121</v>
      </c>
      <c r="F37" s="39" t="s">
        <v>368</v>
      </c>
      <c r="G37" s="40" t="s">
        <v>189</v>
      </c>
      <c r="H37" s="39" t="s">
        <v>289</v>
      </c>
      <c r="I37" s="40" t="s">
        <v>374</v>
      </c>
      <c r="J37" s="39">
        <v>1</v>
      </c>
      <c r="K37" s="42"/>
    </row>
    <row r="38" spans="1:11" ht="36.75" thickBot="1" x14ac:dyDescent="0.3">
      <c r="A38" s="1"/>
      <c r="B38" s="53">
        <f>ROW(B38) - ROW($B$9)</f>
        <v>29</v>
      </c>
      <c r="C38" s="61" t="s">
        <v>378</v>
      </c>
      <c r="D38" s="37" t="s">
        <v>36</v>
      </c>
      <c r="E38" s="38" t="s">
        <v>122</v>
      </c>
      <c r="F38" s="37" t="s">
        <v>190</v>
      </c>
      <c r="G38" s="38" t="s">
        <v>337</v>
      </c>
      <c r="H38" s="37" t="s">
        <v>290</v>
      </c>
      <c r="I38" s="38" t="s">
        <v>374</v>
      </c>
      <c r="J38" s="37">
        <v>1</v>
      </c>
      <c r="K38" s="41"/>
    </row>
    <row r="39" spans="1:11" ht="24.75" thickBot="1" x14ac:dyDescent="0.3">
      <c r="A39" s="1"/>
      <c r="B39" s="53">
        <f t="shared" si="0"/>
        <v>30</v>
      </c>
      <c r="C39" s="60" t="s">
        <v>378</v>
      </c>
      <c r="D39" s="39" t="s">
        <v>37</v>
      </c>
      <c r="E39" s="40" t="s">
        <v>123</v>
      </c>
      <c r="F39" s="39" t="s">
        <v>190</v>
      </c>
      <c r="G39" s="40" t="s">
        <v>338</v>
      </c>
      <c r="H39" s="39" t="s">
        <v>290</v>
      </c>
      <c r="I39" s="40" t="s">
        <v>374</v>
      </c>
      <c r="J39" s="39">
        <v>1</v>
      </c>
      <c r="K39" s="42"/>
    </row>
    <row r="40" spans="1:11" ht="15.75" thickBot="1" x14ac:dyDescent="0.3">
      <c r="A40" s="1"/>
      <c r="B40" s="53">
        <f>ROW(B40) - ROW($B$9)</f>
        <v>31</v>
      </c>
      <c r="C40" s="61" t="s">
        <v>378</v>
      </c>
      <c r="D40" s="37" t="s">
        <v>38</v>
      </c>
      <c r="E40" s="38" t="s">
        <v>124</v>
      </c>
      <c r="F40" s="37" t="s">
        <v>191</v>
      </c>
      <c r="G40" s="38" t="s">
        <v>246</v>
      </c>
      <c r="H40" s="37" t="s">
        <v>291</v>
      </c>
      <c r="I40" s="38" t="s">
        <v>374</v>
      </c>
      <c r="J40" s="37">
        <v>8</v>
      </c>
      <c r="K40" s="41"/>
    </row>
    <row r="41" spans="1:11" ht="15.75" thickBot="1" x14ac:dyDescent="0.3">
      <c r="A41" s="1"/>
      <c r="B41" s="53">
        <f t="shared" si="0"/>
        <v>32</v>
      </c>
      <c r="C41" s="60" t="s">
        <v>380</v>
      </c>
      <c r="D41" s="39" t="s">
        <v>39</v>
      </c>
      <c r="E41" s="40" t="s">
        <v>125</v>
      </c>
      <c r="F41" s="39" t="s">
        <v>368</v>
      </c>
      <c r="G41" s="40" t="s">
        <v>192</v>
      </c>
      <c r="H41" s="39" t="s">
        <v>292</v>
      </c>
      <c r="I41" s="40" t="s">
        <v>374</v>
      </c>
      <c r="J41" s="39">
        <v>1</v>
      </c>
      <c r="K41" s="42"/>
    </row>
    <row r="42" spans="1:11" ht="36.75" thickBot="1" x14ac:dyDescent="0.3">
      <c r="A42" s="1"/>
      <c r="B42" s="53">
        <f>ROW(B42) - ROW($B$9)</f>
        <v>33</v>
      </c>
      <c r="C42" s="61" t="s">
        <v>379</v>
      </c>
      <c r="D42" s="37" t="s">
        <v>40</v>
      </c>
      <c r="E42" s="38" t="s">
        <v>126</v>
      </c>
      <c r="F42" s="37" t="s">
        <v>369</v>
      </c>
      <c r="G42" s="38" t="s">
        <v>193</v>
      </c>
      <c r="H42" s="37" t="s">
        <v>285</v>
      </c>
      <c r="I42" s="38" t="s">
        <v>374</v>
      </c>
      <c r="J42" s="37">
        <v>4</v>
      </c>
      <c r="K42" s="41"/>
    </row>
    <row r="43" spans="1:11" ht="24.75" thickBot="1" x14ac:dyDescent="0.3">
      <c r="A43" s="1"/>
      <c r="B43" s="53">
        <f t="shared" si="0"/>
        <v>34</v>
      </c>
      <c r="C43" s="60" t="s">
        <v>381</v>
      </c>
      <c r="D43" s="39" t="s">
        <v>41</v>
      </c>
      <c r="E43" s="40" t="s">
        <v>127</v>
      </c>
      <c r="F43" s="39" t="s">
        <v>368</v>
      </c>
      <c r="G43" s="40" t="s">
        <v>194</v>
      </c>
      <c r="H43" s="39" t="s">
        <v>293</v>
      </c>
      <c r="I43" s="40" t="s">
        <v>374</v>
      </c>
      <c r="J43" s="39">
        <v>1</v>
      </c>
      <c r="K43" s="42"/>
    </row>
    <row r="44" spans="1:11" ht="36.75" thickBot="1" x14ac:dyDescent="0.3">
      <c r="A44" s="1"/>
      <c r="B44" s="53">
        <f>ROW(B44) - ROW($B$9)</f>
        <v>35</v>
      </c>
      <c r="C44" s="61" t="s">
        <v>381</v>
      </c>
      <c r="D44" s="37" t="s">
        <v>42</v>
      </c>
      <c r="E44" s="38" t="s">
        <v>128</v>
      </c>
      <c r="F44" s="37" t="s">
        <v>368</v>
      </c>
      <c r="G44" s="38" t="s">
        <v>195</v>
      </c>
      <c r="H44" s="37" t="s">
        <v>294</v>
      </c>
      <c r="I44" s="38" t="s">
        <v>374</v>
      </c>
      <c r="J44" s="37">
        <v>2</v>
      </c>
      <c r="K44" s="41"/>
    </row>
    <row r="45" spans="1:11" ht="15.75" thickBot="1" x14ac:dyDescent="0.3">
      <c r="A45" s="1"/>
      <c r="B45" s="53">
        <f t="shared" si="0"/>
        <v>36</v>
      </c>
      <c r="C45" s="60" t="s">
        <v>382</v>
      </c>
      <c r="D45" s="39" t="s">
        <v>43</v>
      </c>
      <c r="E45" s="40" t="s">
        <v>129</v>
      </c>
      <c r="F45" s="39" t="s">
        <v>368</v>
      </c>
      <c r="G45" s="40" t="s">
        <v>196</v>
      </c>
      <c r="H45" s="39" t="s">
        <v>295</v>
      </c>
      <c r="I45" s="40" t="s">
        <v>374</v>
      </c>
      <c r="J45" s="39">
        <v>1</v>
      </c>
      <c r="K45" s="42"/>
    </row>
    <row r="46" spans="1:11" ht="15.75" thickBot="1" x14ac:dyDescent="0.3">
      <c r="A46" s="1"/>
      <c r="B46" s="53">
        <f>ROW(B46) - ROW($B$9)</f>
        <v>37</v>
      </c>
      <c r="C46" s="61" t="s">
        <v>382</v>
      </c>
      <c r="D46" s="37" t="s">
        <v>44</v>
      </c>
      <c r="E46" s="38" t="s">
        <v>130</v>
      </c>
      <c r="F46" s="37" t="s">
        <v>368</v>
      </c>
      <c r="G46" s="38" t="s">
        <v>197</v>
      </c>
      <c r="H46" s="37" t="s">
        <v>296</v>
      </c>
      <c r="I46" s="38" t="s">
        <v>374</v>
      </c>
      <c r="J46" s="37">
        <v>1</v>
      </c>
      <c r="K46" s="41"/>
    </row>
    <row r="47" spans="1:11" ht="36.75" thickBot="1" x14ac:dyDescent="0.3">
      <c r="A47" s="1"/>
      <c r="B47" s="53">
        <f t="shared" si="0"/>
        <v>38</v>
      </c>
      <c r="C47" s="60" t="s">
        <v>379</v>
      </c>
      <c r="D47" s="39" t="s">
        <v>45</v>
      </c>
      <c r="E47" s="40" t="s">
        <v>131</v>
      </c>
      <c r="F47" s="39" t="s">
        <v>368</v>
      </c>
      <c r="G47" s="40" t="s">
        <v>198</v>
      </c>
      <c r="H47" s="39" t="s">
        <v>285</v>
      </c>
      <c r="I47" s="40" t="s">
        <v>339</v>
      </c>
      <c r="J47" s="39">
        <v>1</v>
      </c>
      <c r="K47" s="42"/>
    </row>
    <row r="48" spans="1:11" ht="24.75" thickBot="1" x14ac:dyDescent="0.3">
      <c r="A48" s="1"/>
      <c r="B48" s="53">
        <f>ROW(B48) - ROW($B$9)</f>
        <v>39</v>
      </c>
      <c r="C48" s="61" t="s">
        <v>379</v>
      </c>
      <c r="D48" s="37" t="s">
        <v>46</v>
      </c>
      <c r="E48" s="38" t="s">
        <v>132</v>
      </c>
      <c r="F48" s="37" t="s">
        <v>368</v>
      </c>
      <c r="G48" s="38" t="s">
        <v>199</v>
      </c>
      <c r="H48" s="37" t="s">
        <v>297</v>
      </c>
      <c r="I48" s="38" t="s">
        <v>340</v>
      </c>
      <c r="J48" s="37">
        <v>1</v>
      </c>
      <c r="K48" s="41"/>
    </row>
    <row r="49" spans="1:11" ht="24.75" thickBot="1" x14ac:dyDescent="0.3">
      <c r="A49" s="1"/>
      <c r="B49" s="53">
        <f t="shared" si="0"/>
        <v>40</v>
      </c>
      <c r="C49" s="60" t="s">
        <v>383</v>
      </c>
      <c r="D49" s="39" t="s">
        <v>47</v>
      </c>
      <c r="E49" s="40" t="s">
        <v>133</v>
      </c>
      <c r="F49" s="39" t="s">
        <v>368</v>
      </c>
      <c r="G49" s="40" t="s">
        <v>200</v>
      </c>
      <c r="H49" s="39" t="s">
        <v>298</v>
      </c>
      <c r="I49" s="40" t="s">
        <v>374</v>
      </c>
      <c r="J49" s="39">
        <v>1</v>
      </c>
      <c r="K49" s="42"/>
    </row>
    <row r="50" spans="1:11" ht="15.75" thickBot="1" x14ac:dyDescent="0.3">
      <c r="A50" s="1"/>
      <c r="B50" s="53">
        <f>ROW(B50) - ROW($B$9)</f>
        <v>41</v>
      </c>
      <c r="C50" s="61" t="s">
        <v>383</v>
      </c>
      <c r="D50" s="37" t="s">
        <v>48</v>
      </c>
      <c r="E50" s="38" t="s">
        <v>134</v>
      </c>
      <c r="F50" s="37" t="s">
        <v>201</v>
      </c>
      <c r="G50" s="38" t="s">
        <v>247</v>
      </c>
      <c r="H50" s="37" t="s">
        <v>299</v>
      </c>
      <c r="I50" s="38" t="s">
        <v>374</v>
      </c>
      <c r="J50" s="37">
        <v>1</v>
      </c>
      <c r="K50" s="41"/>
    </row>
    <row r="51" spans="1:11" ht="24.75" thickBot="1" x14ac:dyDescent="0.3">
      <c r="A51" s="1"/>
      <c r="B51" s="53">
        <f t="shared" si="0"/>
        <v>42</v>
      </c>
      <c r="C51" s="60" t="s">
        <v>381</v>
      </c>
      <c r="D51" s="39" t="s">
        <v>49</v>
      </c>
      <c r="E51" s="40" t="s">
        <v>135</v>
      </c>
      <c r="F51" s="39" t="s">
        <v>368</v>
      </c>
      <c r="G51" s="40" t="s">
        <v>202</v>
      </c>
      <c r="H51" s="39" t="s">
        <v>300</v>
      </c>
      <c r="I51" s="40" t="s">
        <v>374</v>
      </c>
      <c r="J51" s="39">
        <v>2</v>
      </c>
      <c r="K51" s="42"/>
    </row>
    <row r="52" spans="1:11" ht="15.75" thickBot="1" x14ac:dyDescent="0.3">
      <c r="A52" s="1"/>
      <c r="B52" s="53">
        <f>ROW(B52) - ROW($B$9)</f>
        <v>43</v>
      </c>
      <c r="C52" s="61" t="s">
        <v>341</v>
      </c>
      <c r="D52" s="37" t="s">
        <v>50</v>
      </c>
      <c r="E52" s="38" t="s">
        <v>136</v>
      </c>
      <c r="F52" s="37" t="s">
        <v>203</v>
      </c>
      <c r="G52" s="38" t="s">
        <v>374</v>
      </c>
      <c r="H52" s="37" t="s">
        <v>374</v>
      </c>
      <c r="I52" s="38" t="s">
        <v>374</v>
      </c>
      <c r="J52" s="37">
        <v>4</v>
      </c>
      <c r="K52" s="41"/>
    </row>
    <row r="53" spans="1:11" ht="15.75" thickBot="1" x14ac:dyDescent="0.3">
      <c r="A53" s="1"/>
      <c r="B53" s="53">
        <f t="shared" si="0"/>
        <v>44</v>
      </c>
      <c r="C53" s="60" t="s">
        <v>382</v>
      </c>
      <c r="D53" s="39" t="s">
        <v>51</v>
      </c>
      <c r="E53" s="40" t="s">
        <v>137</v>
      </c>
      <c r="F53" s="39" t="s">
        <v>204</v>
      </c>
      <c r="G53" s="40">
        <v>61300211121</v>
      </c>
      <c r="H53" s="39" t="s">
        <v>287</v>
      </c>
      <c r="I53" s="40" t="s">
        <v>374</v>
      </c>
      <c r="J53" s="39">
        <v>4</v>
      </c>
      <c r="K53" s="42"/>
    </row>
    <row r="54" spans="1:11" ht="15.75" thickBot="1" x14ac:dyDescent="0.3">
      <c r="A54" s="1"/>
      <c r="B54" s="53">
        <f>ROW(B54) - ROW($B$9)</f>
        <v>45</v>
      </c>
      <c r="C54" s="61" t="s">
        <v>384</v>
      </c>
      <c r="D54" s="37" t="s">
        <v>52</v>
      </c>
      <c r="E54" s="38" t="s">
        <v>138</v>
      </c>
      <c r="F54" s="37" t="s">
        <v>205</v>
      </c>
      <c r="G54" s="38" t="s">
        <v>248</v>
      </c>
      <c r="H54" s="37" t="s">
        <v>301</v>
      </c>
      <c r="I54" s="38" t="s">
        <v>374</v>
      </c>
      <c r="J54" s="37">
        <v>8</v>
      </c>
      <c r="K54" s="41"/>
    </row>
    <row r="55" spans="1:11" ht="15.75" thickBot="1" x14ac:dyDescent="0.3">
      <c r="A55" s="1"/>
      <c r="B55" s="53">
        <f t="shared" si="0"/>
        <v>46</v>
      </c>
      <c r="C55" s="60" t="s">
        <v>385</v>
      </c>
      <c r="D55" s="39" t="s">
        <v>53</v>
      </c>
      <c r="E55" s="40" t="s">
        <v>139</v>
      </c>
      <c r="F55" s="39" t="s">
        <v>206</v>
      </c>
      <c r="G55" s="40" t="s">
        <v>249</v>
      </c>
      <c r="H55" s="39" t="s">
        <v>281</v>
      </c>
      <c r="I55" s="40" t="s">
        <v>342</v>
      </c>
      <c r="J55" s="39">
        <v>2</v>
      </c>
      <c r="K55" s="42"/>
    </row>
    <row r="56" spans="1:11" ht="24.75" thickBot="1" x14ac:dyDescent="0.3">
      <c r="A56" s="1"/>
      <c r="B56" s="53">
        <f>ROW(B56) - ROW($B$9)</f>
        <v>47</v>
      </c>
      <c r="C56" s="61" t="s">
        <v>385</v>
      </c>
      <c r="D56" s="37" t="s">
        <v>54</v>
      </c>
      <c r="E56" s="38" t="s">
        <v>140</v>
      </c>
      <c r="F56" s="37" t="s">
        <v>206</v>
      </c>
      <c r="G56" s="38" t="s">
        <v>250</v>
      </c>
      <c r="H56" s="37" t="s">
        <v>281</v>
      </c>
      <c r="I56" s="38" t="s">
        <v>343</v>
      </c>
      <c r="J56" s="37">
        <v>1</v>
      </c>
      <c r="K56" s="41"/>
    </row>
    <row r="57" spans="1:11" ht="36.75" thickBot="1" x14ac:dyDescent="0.3">
      <c r="A57" s="1"/>
      <c r="B57" s="53">
        <f t="shared" si="0"/>
        <v>48</v>
      </c>
      <c r="C57" s="60" t="s">
        <v>385</v>
      </c>
      <c r="D57" s="39" t="s">
        <v>55</v>
      </c>
      <c r="E57" s="40" t="s">
        <v>141</v>
      </c>
      <c r="F57" s="39" t="s">
        <v>206</v>
      </c>
      <c r="G57" s="40" t="s">
        <v>251</v>
      </c>
      <c r="H57" s="39" t="s">
        <v>302</v>
      </c>
      <c r="I57" s="40" t="s">
        <v>344</v>
      </c>
      <c r="J57" s="39">
        <v>1</v>
      </c>
      <c r="K57" s="42"/>
    </row>
    <row r="58" spans="1:11" ht="15.75" thickBot="1" x14ac:dyDescent="0.3">
      <c r="A58" s="1"/>
      <c r="B58" s="53">
        <f>ROW(B58) - ROW($B$9)</f>
        <v>49</v>
      </c>
      <c r="C58" s="61" t="s">
        <v>385</v>
      </c>
      <c r="D58" s="37" t="s">
        <v>56</v>
      </c>
      <c r="E58" s="38" t="s">
        <v>142</v>
      </c>
      <c r="F58" s="37" t="s">
        <v>206</v>
      </c>
      <c r="G58" s="38" t="s">
        <v>252</v>
      </c>
      <c r="H58" s="37" t="s">
        <v>281</v>
      </c>
      <c r="I58" s="38" t="s">
        <v>345</v>
      </c>
      <c r="J58" s="37">
        <v>2</v>
      </c>
      <c r="K58" s="41"/>
    </row>
    <row r="59" spans="1:11" ht="15.75" thickBot="1" x14ac:dyDescent="0.3">
      <c r="A59" s="1"/>
      <c r="B59" s="53">
        <f t="shared" si="0"/>
        <v>50</v>
      </c>
      <c r="C59" s="60" t="s">
        <v>385</v>
      </c>
      <c r="D59" s="39" t="s">
        <v>57</v>
      </c>
      <c r="E59" s="40" t="s">
        <v>143</v>
      </c>
      <c r="F59" s="39" t="s">
        <v>206</v>
      </c>
      <c r="G59" s="40" t="s">
        <v>253</v>
      </c>
      <c r="H59" s="39" t="s">
        <v>281</v>
      </c>
      <c r="I59" s="40" t="s">
        <v>346</v>
      </c>
      <c r="J59" s="39">
        <v>4</v>
      </c>
      <c r="K59" s="42"/>
    </row>
    <row r="60" spans="1:11" ht="36.75" thickBot="1" x14ac:dyDescent="0.3">
      <c r="A60" s="1"/>
      <c r="B60" s="53">
        <f>ROW(B60) - ROW($B$9)</f>
        <v>51</v>
      </c>
      <c r="C60" s="61" t="s">
        <v>385</v>
      </c>
      <c r="D60" s="37" t="s">
        <v>58</v>
      </c>
      <c r="E60" s="38" t="s">
        <v>144</v>
      </c>
      <c r="F60" s="37" t="s">
        <v>207</v>
      </c>
      <c r="G60" s="38" t="s">
        <v>390</v>
      </c>
      <c r="H60" s="37" t="s">
        <v>303</v>
      </c>
      <c r="I60" s="38" t="s">
        <v>347</v>
      </c>
      <c r="J60" s="37">
        <v>4</v>
      </c>
      <c r="K60" s="41"/>
    </row>
    <row r="61" spans="1:11" ht="15.75" thickBot="1" x14ac:dyDescent="0.3">
      <c r="A61" s="1"/>
      <c r="B61" s="53">
        <f t="shared" si="0"/>
        <v>52</v>
      </c>
      <c r="C61" s="60" t="s">
        <v>385</v>
      </c>
      <c r="D61" s="39" t="s">
        <v>59</v>
      </c>
      <c r="E61" s="40" t="s">
        <v>145</v>
      </c>
      <c r="F61" s="39" t="s">
        <v>206</v>
      </c>
      <c r="G61" s="40" t="s">
        <v>254</v>
      </c>
      <c r="H61" s="39" t="s">
        <v>281</v>
      </c>
      <c r="I61" s="40" t="s">
        <v>348</v>
      </c>
      <c r="J61" s="39">
        <v>8</v>
      </c>
      <c r="K61" s="42"/>
    </row>
    <row r="62" spans="1:11" ht="15.75" thickBot="1" x14ac:dyDescent="0.3">
      <c r="A62" s="1"/>
      <c r="B62" s="53">
        <f>ROW(B62) - ROW($B$9)</f>
        <v>53</v>
      </c>
      <c r="C62" s="61" t="s">
        <v>385</v>
      </c>
      <c r="D62" s="37" t="s">
        <v>60</v>
      </c>
      <c r="E62" s="38" t="s">
        <v>146</v>
      </c>
      <c r="F62" s="37" t="s">
        <v>206</v>
      </c>
      <c r="G62" s="38" t="s">
        <v>255</v>
      </c>
      <c r="H62" s="37" t="s">
        <v>304</v>
      </c>
      <c r="I62" s="38" t="s">
        <v>349</v>
      </c>
      <c r="J62" s="37">
        <v>1</v>
      </c>
      <c r="K62" s="41"/>
    </row>
    <row r="63" spans="1:11" ht="15.75" thickBot="1" x14ac:dyDescent="0.3">
      <c r="A63" s="1"/>
      <c r="B63" s="53">
        <f t="shared" si="0"/>
        <v>54</v>
      </c>
      <c r="C63" s="60" t="s">
        <v>385</v>
      </c>
      <c r="D63" s="39" t="s">
        <v>61</v>
      </c>
      <c r="E63" s="40" t="s">
        <v>147</v>
      </c>
      <c r="F63" s="39" t="s">
        <v>206</v>
      </c>
      <c r="G63" s="40" t="s">
        <v>256</v>
      </c>
      <c r="H63" s="39" t="s">
        <v>281</v>
      </c>
      <c r="I63" s="40" t="s">
        <v>350</v>
      </c>
      <c r="J63" s="39">
        <v>1</v>
      </c>
      <c r="K63" s="42"/>
    </row>
    <row r="64" spans="1:11" ht="15.75" thickBot="1" x14ac:dyDescent="0.3">
      <c r="A64" s="1"/>
      <c r="B64" s="53">
        <f>ROW(B64) - ROW($B$9)</f>
        <v>55</v>
      </c>
      <c r="C64" s="61" t="s">
        <v>385</v>
      </c>
      <c r="D64" s="37" t="s">
        <v>62</v>
      </c>
      <c r="E64" s="38" t="s">
        <v>148</v>
      </c>
      <c r="F64" s="37" t="s">
        <v>206</v>
      </c>
      <c r="G64" s="38" t="s">
        <v>257</v>
      </c>
      <c r="H64" s="37" t="s">
        <v>304</v>
      </c>
      <c r="I64" s="38" t="s">
        <v>351</v>
      </c>
      <c r="J64" s="37">
        <v>1</v>
      </c>
      <c r="K64" s="41"/>
    </row>
    <row r="65" spans="1:11" ht="15.75" thickBot="1" x14ac:dyDescent="0.3">
      <c r="A65" s="1"/>
      <c r="B65" s="53">
        <f t="shared" si="0"/>
        <v>56</v>
      </c>
      <c r="C65" s="60" t="s">
        <v>385</v>
      </c>
      <c r="D65" s="39" t="s">
        <v>63</v>
      </c>
      <c r="E65" s="40" t="s">
        <v>149</v>
      </c>
      <c r="F65" s="39" t="s">
        <v>206</v>
      </c>
      <c r="G65" s="40" t="s">
        <v>258</v>
      </c>
      <c r="H65" s="39" t="s">
        <v>281</v>
      </c>
      <c r="I65" s="40" t="s">
        <v>352</v>
      </c>
      <c r="J65" s="39">
        <v>1</v>
      </c>
      <c r="K65" s="42"/>
    </row>
    <row r="66" spans="1:11" ht="15.75" thickBot="1" x14ac:dyDescent="0.3">
      <c r="A66" s="1"/>
      <c r="B66" s="53">
        <f>ROW(B66) - ROW($B$9)</f>
        <v>57</v>
      </c>
      <c r="C66" s="61" t="s">
        <v>385</v>
      </c>
      <c r="D66" s="37" t="s">
        <v>64</v>
      </c>
      <c r="E66" s="38" t="s">
        <v>150</v>
      </c>
      <c r="F66" s="37" t="s">
        <v>206</v>
      </c>
      <c r="G66" s="38" t="s">
        <v>259</v>
      </c>
      <c r="H66" s="37" t="s">
        <v>304</v>
      </c>
      <c r="I66" s="38" t="s">
        <v>353</v>
      </c>
      <c r="J66" s="37">
        <v>1</v>
      </c>
      <c r="K66" s="41"/>
    </row>
    <row r="67" spans="1:11" ht="15.75" thickBot="1" x14ac:dyDescent="0.3">
      <c r="A67" s="1"/>
      <c r="B67" s="53">
        <f t="shared" si="0"/>
        <v>58</v>
      </c>
      <c r="C67" s="60" t="s">
        <v>385</v>
      </c>
      <c r="D67" s="39" t="s">
        <v>65</v>
      </c>
      <c r="E67" s="40" t="s">
        <v>151</v>
      </c>
      <c r="F67" s="39" t="s">
        <v>206</v>
      </c>
      <c r="G67" s="40" t="s">
        <v>260</v>
      </c>
      <c r="H67" s="39" t="s">
        <v>281</v>
      </c>
      <c r="I67" s="40" t="s">
        <v>354</v>
      </c>
      <c r="J67" s="39">
        <v>1</v>
      </c>
      <c r="K67" s="42"/>
    </row>
    <row r="68" spans="1:11" ht="15.75" thickBot="1" x14ac:dyDescent="0.3">
      <c r="A68" s="1"/>
      <c r="B68" s="53">
        <f>ROW(B68) - ROW($B$9)</f>
        <v>59</v>
      </c>
      <c r="C68" s="61" t="s">
        <v>385</v>
      </c>
      <c r="D68" s="37" t="s">
        <v>66</v>
      </c>
      <c r="E68" s="38" t="s">
        <v>152</v>
      </c>
      <c r="F68" s="37" t="s">
        <v>206</v>
      </c>
      <c r="G68" s="38" t="s">
        <v>261</v>
      </c>
      <c r="H68" s="37" t="s">
        <v>281</v>
      </c>
      <c r="I68" s="38" t="s">
        <v>355</v>
      </c>
      <c r="J68" s="37">
        <v>1</v>
      </c>
      <c r="K68" s="41"/>
    </row>
    <row r="69" spans="1:11" ht="15.75" thickBot="1" x14ac:dyDescent="0.3">
      <c r="A69" s="1"/>
      <c r="B69" s="53">
        <f t="shared" si="0"/>
        <v>60</v>
      </c>
      <c r="C69" s="60" t="s">
        <v>385</v>
      </c>
      <c r="D69" s="39" t="s">
        <v>67</v>
      </c>
      <c r="E69" s="40" t="s">
        <v>153</v>
      </c>
      <c r="F69" s="39" t="s">
        <v>206</v>
      </c>
      <c r="G69" s="40" t="s">
        <v>262</v>
      </c>
      <c r="H69" s="39" t="s">
        <v>281</v>
      </c>
      <c r="I69" s="40" t="s">
        <v>356</v>
      </c>
      <c r="J69" s="39">
        <v>1</v>
      </c>
      <c r="K69" s="42"/>
    </row>
    <row r="70" spans="1:11" ht="36.75" thickBot="1" x14ac:dyDescent="0.3">
      <c r="A70" s="1"/>
      <c r="B70" s="53">
        <f>ROW(B70) - ROW($B$9)</f>
        <v>61</v>
      </c>
      <c r="C70" s="61" t="s">
        <v>385</v>
      </c>
      <c r="D70" s="37" t="s">
        <v>68</v>
      </c>
      <c r="E70" s="38" t="s">
        <v>154</v>
      </c>
      <c r="F70" s="37" t="s">
        <v>206</v>
      </c>
      <c r="G70" s="38" t="s">
        <v>263</v>
      </c>
      <c r="H70" s="37" t="s">
        <v>281</v>
      </c>
      <c r="I70" s="38" t="s">
        <v>357</v>
      </c>
      <c r="J70" s="37">
        <v>1</v>
      </c>
      <c r="K70" s="41"/>
    </row>
    <row r="71" spans="1:11" ht="15.75" thickBot="1" x14ac:dyDescent="0.3">
      <c r="A71" s="1"/>
      <c r="B71" s="53">
        <f t="shared" si="0"/>
        <v>62</v>
      </c>
      <c r="C71" s="60" t="s">
        <v>385</v>
      </c>
      <c r="D71" s="39" t="s">
        <v>69</v>
      </c>
      <c r="E71" s="40" t="s">
        <v>155</v>
      </c>
      <c r="F71" s="39" t="s">
        <v>206</v>
      </c>
      <c r="G71" s="40" t="s">
        <v>264</v>
      </c>
      <c r="H71" s="39" t="s">
        <v>281</v>
      </c>
      <c r="I71" s="40" t="s">
        <v>357</v>
      </c>
      <c r="J71" s="39">
        <v>1</v>
      </c>
      <c r="K71" s="42"/>
    </row>
    <row r="72" spans="1:11" ht="15.75" thickBot="1" x14ac:dyDescent="0.3">
      <c r="A72" s="1"/>
      <c r="B72" s="53">
        <f>ROW(B72) - ROW($B$9)</f>
        <v>63</v>
      </c>
      <c r="C72" s="61" t="s">
        <v>385</v>
      </c>
      <c r="D72" s="37" t="s">
        <v>70</v>
      </c>
      <c r="E72" s="38" t="s">
        <v>156</v>
      </c>
      <c r="F72" s="37" t="s">
        <v>206</v>
      </c>
      <c r="G72" s="38" t="s">
        <v>265</v>
      </c>
      <c r="H72" s="37" t="s">
        <v>281</v>
      </c>
      <c r="I72" s="38" t="s">
        <v>358</v>
      </c>
      <c r="J72" s="37">
        <v>2</v>
      </c>
      <c r="K72" s="41"/>
    </row>
    <row r="73" spans="1:11" ht="15.75" thickBot="1" x14ac:dyDescent="0.3">
      <c r="A73" s="1"/>
      <c r="B73" s="53">
        <f t="shared" si="0"/>
        <v>64</v>
      </c>
      <c r="C73" s="60" t="s">
        <v>385</v>
      </c>
      <c r="D73" s="39" t="s">
        <v>71</v>
      </c>
      <c r="E73" s="40" t="s">
        <v>157</v>
      </c>
      <c r="F73" s="39" t="s">
        <v>208</v>
      </c>
      <c r="G73" s="40" t="s">
        <v>266</v>
      </c>
      <c r="H73" s="39" t="s">
        <v>305</v>
      </c>
      <c r="I73" s="40" t="s">
        <v>348</v>
      </c>
      <c r="J73" s="39">
        <v>1</v>
      </c>
      <c r="K73" s="42"/>
    </row>
    <row r="74" spans="1:11" ht="15.75" thickBot="1" x14ac:dyDescent="0.3">
      <c r="A74" s="1"/>
      <c r="B74" s="53">
        <f>ROW(B74) - ROW($B$9)</f>
        <v>65</v>
      </c>
      <c r="C74" s="61" t="s">
        <v>385</v>
      </c>
      <c r="D74" s="37" t="s">
        <v>72</v>
      </c>
      <c r="E74" s="38" t="s">
        <v>158</v>
      </c>
      <c r="F74" s="37" t="s">
        <v>206</v>
      </c>
      <c r="G74" s="38" t="s">
        <v>267</v>
      </c>
      <c r="H74" s="37" t="s">
        <v>281</v>
      </c>
      <c r="I74" s="38" t="s">
        <v>359</v>
      </c>
      <c r="J74" s="37">
        <v>2</v>
      </c>
      <c r="K74" s="41"/>
    </row>
    <row r="75" spans="1:11" ht="15.75" thickBot="1" x14ac:dyDescent="0.3">
      <c r="A75" s="1"/>
      <c r="B75" s="53">
        <f t="shared" si="0"/>
        <v>66</v>
      </c>
      <c r="C75" s="60" t="s">
        <v>385</v>
      </c>
      <c r="D75" s="39" t="s">
        <v>73</v>
      </c>
      <c r="E75" s="40" t="s">
        <v>159</v>
      </c>
      <c r="F75" s="39" t="s">
        <v>206</v>
      </c>
      <c r="G75" s="40" t="s">
        <v>268</v>
      </c>
      <c r="H75" s="39" t="s">
        <v>304</v>
      </c>
      <c r="I75" s="40" t="s">
        <v>360</v>
      </c>
      <c r="J75" s="39">
        <v>1</v>
      </c>
      <c r="K75" s="42"/>
    </row>
    <row r="76" spans="1:11" ht="15.75" thickBot="1" x14ac:dyDescent="0.3">
      <c r="A76" s="1"/>
      <c r="B76" s="53">
        <f>ROW(B76) - ROW($B$9)</f>
        <v>67</v>
      </c>
      <c r="C76" s="61" t="s">
        <v>385</v>
      </c>
      <c r="D76" s="37" t="s">
        <v>74</v>
      </c>
      <c r="E76" s="38" t="s">
        <v>160</v>
      </c>
      <c r="F76" s="37" t="s">
        <v>208</v>
      </c>
      <c r="G76" s="38" t="s">
        <v>269</v>
      </c>
      <c r="H76" s="37" t="s">
        <v>281</v>
      </c>
      <c r="I76" s="38" t="s">
        <v>361</v>
      </c>
      <c r="J76" s="37">
        <v>1</v>
      </c>
      <c r="K76" s="41"/>
    </row>
    <row r="77" spans="1:11" ht="15.75" thickBot="1" x14ac:dyDescent="0.3">
      <c r="A77" s="1"/>
      <c r="B77" s="53">
        <f t="shared" si="0"/>
        <v>68</v>
      </c>
      <c r="C77" s="60" t="s">
        <v>385</v>
      </c>
      <c r="D77" s="39" t="s">
        <v>75</v>
      </c>
      <c r="E77" s="40" t="s">
        <v>161</v>
      </c>
      <c r="F77" s="39" t="s">
        <v>206</v>
      </c>
      <c r="G77" s="40" t="s">
        <v>270</v>
      </c>
      <c r="H77" s="39" t="s">
        <v>304</v>
      </c>
      <c r="I77" s="40" t="s">
        <v>362</v>
      </c>
      <c r="J77" s="39">
        <v>1</v>
      </c>
      <c r="K77" s="42"/>
    </row>
    <row r="78" spans="1:11" ht="36.75" thickBot="1" x14ac:dyDescent="0.3">
      <c r="A78" s="1"/>
      <c r="B78" s="53">
        <f>ROW(B78) - ROW($B$9)</f>
        <v>69</v>
      </c>
      <c r="C78" s="61" t="s">
        <v>385</v>
      </c>
      <c r="D78" s="37" t="s">
        <v>76</v>
      </c>
      <c r="E78" s="38" t="s">
        <v>162</v>
      </c>
      <c r="F78" s="37" t="s">
        <v>206</v>
      </c>
      <c r="G78" s="38" t="s">
        <v>391</v>
      </c>
      <c r="H78" s="37" t="s">
        <v>306</v>
      </c>
      <c r="I78" s="38" t="s">
        <v>363</v>
      </c>
      <c r="J78" s="37">
        <v>1</v>
      </c>
      <c r="K78" s="41"/>
    </row>
    <row r="79" spans="1:11" ht="36.75" thickBot="1" x14ac:dyDescent="0.3">
      <c r="A79" s="1"/>
      <c r="B79" s="53">
        <f t="shared" si="0"/>
        <v>70</v>
      </c>
      <c r="C79" s="60" t="s">
        <v>385</v>
      </c>
      <c r="D79" s="39" t="s">
        <v>77</v>
      </c>
      <c r="E79" s="40" t="s">
        <v>163</v>
      </c>
      <c r="F79" s="39" t="s">
        <v>206</v>
      </c>
      <c r="G79" s="40" t="s">
        <v>392</v>
      </c>
      <c r="H79" s="39" t="s">
        <v>307</v>
      </c>
      <c r="I79" s="40" t="s">
        <v>364</v>
      </c>
      <c r="J79" s="39">
        <v>1</v>
      </c>
      <c r="K79" s="42"/>
    </row>
    <row r="80" spans="1:11" ht="15.75" thickBot="1" x14ac:dyDescent="0.3">
      <c r="A80" s="1"/>
      <c r="B80" s="53">
        <f>ROW(B80) - ROW($B$9)</f>
        <v>71</v>
      </c>
      <c r="C80" s="61" t="s">
        <v>385</v>
      </c>
      <c r="D80" s="37" t="s">
        <v>78</v>
      </c>
      <c r="E80" s="38" t="s">
        <v>164</v>
      </c>
      <c r="F80" s="37" t="s">
        <v>209</v>
      </c>
      <c r="G80" s="38" t="s">
        <v>271</v>
      </c>
      <c r="H80" s="37" t="s">
        <v>281</v>
      </c>
      <c r="I80" s="38" t="s">
        <v>365</v>
      </c>
      <c r="J80" s="37">
        <v>4</v>
      </c>
      <c r="K80" s="41"/>
    </row>
    <row r="81" spans="1:11" ht="15.75" thickBot="1" x14ac:dyDescent="0.3">
      <c r="A81" s="1"/>
      <c r="B81" s="53">
        <f t="shared" si="0"/>
        <v>72</v>
      </c>
      <c r="C81" s="60" t="s">
        <v>385</v>
      </c>
      <c r="D81" s="39" t="s">
        <v>79</v>
      </c>
      <c r="E81" s="40" t="s">
        <v>165</v>
      </c>
      <c r="F81" s="39" t="s">
        <v>206</v>
      </c>
      <c r="G81" s="40" t="s">
        <v>272</v>
      </c>
      <c r="H81" s="39" t="s">
        <v>281</v>
      </c>
      <c r="I81" s="40" t="s">
        <v>366</v>
      </c>
      <c r="J81" s="39">
        <v>4</v>
      </c>
      <c r="K81" s="42"/>
    </row>
    <row r="82" spans="1:11" ht="24.75" thickBot="1" x14ac:dyDescent="0.3">
      <c r="A82" s="1"/>
      <c r="B82" s="53">
        <f>ROW(B82) - ROW($B$9)</f>
        <v>73</v>
      </c>
      <c r="C82" s="61" t="s">
        <v>210</v>
      </c>
      <c r="D82" s="37" t="s">
        <v>80</v>
      </c>
      <c r="E82" s="38" t="s">
        <v>166</v>
      </c>
      <c r="F82" s="37" t="s">
        <v>210</v>
      </c>
      <c r="G82" s="38" t="s">
        <v>374</v>
      </c>
      <c r="H82" s="37" t="s">
        <v>374</v>
      </c>
      <c r="I82" s="38" t="s">
        <v>374</v>
      </c>
      <c r="J82" s="37">
        <v>11</v>
      </c>
      <c r="K82" s="41"/>
    </row>
    <row r="83" spans="1:11" ht="36.75" thickBot="1" x14ac:dyDescent="0.3">
      <c r="A83" s="1"/>
      <c r="B83" s="53">
        <f t="shared" si="0"/>
        <v>74</v>
      </c>
      <c r="C83" s="60" t="s">
        <v>387</v>
      </c>
      <c r="D83" s="39" t="s">
        <v>81</v>
      </c>
      <c r="E83" s="40" t="s">
        <v>167</v>
      </c>
      <c r="F83" s="39" t="s">
        <v>211</v>
      </c>
      <c r="G83" s="40"/>
      <c r="H83" s="39" t="s">
        <v>308</v>
      </c>
      <c r="I83" s="40" t="s">
        <v>374</v>
      </c>
      <c r="J83" s="39">
        <v>1</v>
      </c>
      <c r="K83" s="42"/>
    </row>
    <row r="84" spans="1:11" ht="24.75" thickBot="1" x14ac:dyDescent="0.3">
      <c r="A84" s="1"/>
      <c r="B84" s="53">
        <f>ROW(B84) - ROW($B$9)</f>
        <v>75</v>
      </c>
      <c r="C84" s="61" t="s">
        <v>388</v>
      </c>
      <c r="D84" s="37" t="s">
        <v>82</v>
      </c>
      <c r="E84" s="38" t="s">
        <v>168</v>
      </c>
      <c r="F84" s="37" t="s">
        <v>368</v>
      </c>
      <c r="G84" s="38">
        <v>750314597</v>
      </c>
      <c r="H84" s="37" t="s">
        <v>309</v>
      </c>
      <c r="I84" s="38" t="s">
        <v>374</v>
      </c>
      <c r="J84" s="37">
        <v>1</v>
      </c>
      <c r="K84" s="41"/>
    </row>
    <row r="85" spans="1:11" ht="15.75" thickBot="1" x14ac:dyDescent="0.3">
      <c r="A85" s="1"/>
      <c r="B85" s="53">
        <f t="shared" si="0"/>
        <v>76</v>
      </c>
      <c r="C85" s="60" t="s">
        <v>389</v>
      </c>
      <c r="D85" s="39" t="s">
        <v>83</v>
      </c>
      <c r="E85" s="40" t="s">
        <v>169</v>
      </c>
      <c r="F85" s="39"/>
      <c r="G85" s="40" t="s">
        <v>212</v>
      </c>
      <c r="H85" s="39" t="s">
        <v>310</v>
      </c>
      <c r="I85" s="40" t="s">
        <v>374</v>
      </c>
      <c r="J85" s="39">
        <v>1</v>
      </c>
      <c r="K85" s="42"/>
    </row>
    <row r="86" spans="1:11" ht="15.75" thickBot="1" x14ac:dyDescent="0.3">
      <c r="A86" s="1"/>
      <c r="B86" s="53">
        <f>ROW(B86) - ROW($B$9)</f>
        <v>77</v>
      </c>
      <c r="C86" s="61" t="s">
        <v>389</v>
      </c>
      <c r="D86" s="37" t="s">
        <v>84</v>
      </c>
      <c r="E86" s="38" t="s">
        <v>170</v>
      </c>
      <c r="F86" s="37" t="s">
        <v>213</v>
      </c>
      <c r="G86" s="38" t="s">
        <v>273</v>
      </c>
      <c r="H86" s="37" t="s">
        <v>311</v>
      </c>
      <c r="I86" s="38" t="s">
        <v>374</v>
      </c>
      <c r="J86" s="37">
        <v>1</v>
      </c>
      <c r="K86" s="41"/>
    </row>
    <row r="87" spans="1:11" ht="36.75" thickBot="1" x14ac:dyDescent="0.3">
      <c r="A87" s="1"/>
      <c r="B87" s="53">
        <f t="shared" si="0"/>
        <v>78</v>
      </c>
      <c r="C87" s="60" t="s">
        <v>389</v>
      </c>
      <c r="D87" s="39" t="s">
        <v>85</v>
      </c>
      <c r="E87" s="40" t="s">
        <v>171</v>
      </c>
      <c r="F87" s="39" t="s">
        <v>214</v>
      </c>
      <c r="G87" s="40" t="s">
        <v>274</v>
      </c>
      <c r="H87" s="39" t="s">
        <v>310</v>
      </c>
      <c r="I87" s="40" t="s">
        <v>374</v>
      </c>
      <c r="J87" s="39">
        <v>1</v>
      </c>
      <c r="K87" s="42"/>
    </row>
    <row r="88" spans="1:11" ht="15.75" thickBot="1" x14ac:dyDescent="0.3">
      <c r="A88" s="1"/>
      <c r="B88" s="53">
        <f>ROW(B88) - ROW($B$9)</f>
        <v>79</v>
      </c>
      <c r="C88" s="61" t="s">
        <v>389</v>
      </c>
      <c r="D88" s="37" t="s">
        <v>86</v>
      </c>
      <c r="E88" s="38" t="s">
        <v>172</v>
      </c>
      <c r="F88" s="37" t="s">
        <v>370</v>
      </c>
      <c r="G88" s="38" t="s">
        <v>215</v>
      </c>
      <c r="H88" s="37" t="s">
        <v>310</v>
      </c>
      <c r="I88" s="38" t="s">
        <v>374</v>
      </c>
      <c r="J88" s="37">
        <v>1</v>
      </c>
      <c r="K88" s="41"/>
    </row>
    <row r="89" spans="1:11" ht="36.75" thickBot="1" x14ac:dyDescent="0.3">
      <c r="A89" s="1"/>
      <c r="B89" s="53">
        <f t="shared" si="0"/>
        <v>80</v>
      </c>
      <c r="C89" s="60" t="s">
        <v>389</v>
      </c>
      <c r="D89" s="39" t="s">
        <v>87</v>
      </c>
      <c r="E89" s="40" t="s">
        <v>173</v>
      </c>
      <c r="F89" s="39" t="s">
        <v>216</v>
      </c>
      <c r="G89" s="40" t="s">
        <v>275</v>
      </c>
      <c r="H89" s="39" t="s">
        <v>310</v>
      </c>
      <c r="I89" s="40" t="s">
        <v>374</v>
      </c>
      <c r="J89" s="39">
        <v>1</v>
      </c>
      <c r="K89" s="42"/>
    </row>
    <row r="90" spans="1:11" ht="15.75" thickBot="1" x14ac:dyDescent="0.3">
      <c r="A90" s="1"/>
      <c r="B90" s="53">
        <f>ROW(B90) - ROW($B$9)</f>
        <v>81</v>
      </c>
      <c r="C90" s="61" t="s">
        <v>389</v>
      </c>
      <c r="D90" s="37" t="s">
        <v>88</v>
      </c>
      <c r="E90" s="38" t="s">
        <v>174</v>
      </c>
      <c r="F90" s="37" t="s">
        <v>217</v>
      </c>
      <c r="G90" s="38" t="s">
        <v>276</v>
      </c>
      <c r="H90" s="37" t="s">
        <v>312</v>
      </c>
      <c r="I90" s="38" t="s">
        <v>374</v>
      </c>
      <c r="J90" s="37">
        <v>1</v>
      </c>
      <c r="K90" s="41"/>
    </row>
    <row r="91" spans="1:11" ht="15.75" thickBot="1" x14ac:dyDescent="0.3">
      <c r="A91" s="1"/>
      <c r="B91" s="53">
        <f t="shared" si="0"/>
        <v>82</v>
      </c>
      <c r="C91" s="60" t="s">
        <v>389</v>
      </c>
      <c r="D91" s="39" t="s">
        <v>89</v>
      </c>
      <c r="E91" s="40" t="s">
        <v>175</v>
      </c>
      <c r="F91" s="39" t="s">
        <v>218</v>
      </c>
      <c r="G91" s="40" t="s">
        <v>277</v>
      </c>
      <c r="H91" s="39" t="s">
        <v>313</v>
      </c>
      <c r="I91" s="58" t="s">
        <v>375</v>
      </c>
      <c r="J91" s="39">
        <v>1</v>
      </c>
      <c r="K91" s="42"/>
    </row>
    <row r="92" spans="1:11" ht="15.75" thickBot="1" x14ac:dyDescent="0.3">
      <c r="A92" s="1"/>
      <c r="B92" s="53">
        <f>ROW(B92) - ROW($B$9)</f>
        <v>83</v>
      </c>
      <c r="C92" s="61" t="s">
        <v>389</v>
      </c>
      <c r="D92" s="37" t="s">
        <v>90</v>
      </c>
      <c r="E92" s="38" t="s">
        <v>176</v>
      </c>
      <c r="F92" s="37" t="s">
        <v>371</v>
      </c>
      <c r="G92" s="38" t="s">
        <v>219</v>
      </c>
      <c r="H92" s="37" t="s">
        <v>310</v>
      </c>
      <c r="I92" s="38" t="s">
        <v>374</v>
      </c>
      <c r="J92" s="37">
        <v>1</v>
      </c>
      <c r="K92" s="41"/>
    </row>
    <row r="93" spans="1:11" ht="15.75" thickBot="1" x14ac:dyDescent="0.3">
      <c r="A93" s="1"/>
      <c r="B93" s="53">
        <f t="shared" si="0"/>
        <v>84</v>
      </c>
      <c r="C93" s="60" t="s">
        <v>389</v>
      </c>
      <c r="D93" s="39" t="s">
        <v>91</v>
      </c>
      <c r="E93" s="40" t="s">
        <v>177</v>
      </c>
      <c r="F93" s="39" t="s">
        <v>372</v>
      </c>
      <c r="G93" s="40" t="s">
        <v>220</v>
      </c>
      <c r="H93" s="39" t="s">
        <v>313</v>
      </c>
      <c r="I93" s="40" t="s">
        <v>374</v>
      </c>
      <c r="J93" s="39">
        <v>1</v>
      </c>
      <c r="K93" s="42"/>
    </row>
    <row r="94" spans="1:11" ht="15.75" thickBot="1" x14ac:dyDescent="0.3">
      <c r="A94" s="1"/>
      <c r="B94" s="53">
        <f>ROW(B94) - ROW($B$9)</f>
        <v>85</v>
      </c>
      <c r="C94" s="61" t="s">
        <v>389</v>
      </c>
      <c r="D94" s="37" t="s">
        <v>92</v>
      </c>
      <c r="E94" s="38" t="s">
        <v>178</v>
      </c>
      <c r="F94" s="37" t="s">
        <v>373</v>
      </c>
      <c r="G94" s="38" t="s">
        <v>221</v>
      </c>
      <c r="H94" s="37" t="s">
        <v>310</v>
      </c>
      <c r="I94" s="38" t="s">
        <v>374</v>
      </c>
      <c r="J94" s="37">
        <v>1</v>
      </c>
      <c r="K94" s="41"/>
    </row>
    <row r="95" spans="1:11" x14ac:dyDescent="0.25">
      <c r="A95" s="1"/>
      <c r="B95" s="32"/>
      <c r="C95" s="51"/>
      <c r="D95" s="33" t="s">
        <v>5</v>
      </c>
      <c r="E95" s="34"/>
      <c r="F95" s="35"/>
      <c r="G95" s="36"/>
      <c r="H95" s="35"/>
      <c r="I95" s="36"/>
      <c r="J95" s="36"/>
      <c r="K95" s="44"/>
    </row>
    <row r="96" spans="1:11" ht="15.75" thickBot="1" x14ac:dyDescent="0.3">
      <c r="A96" s="1"/>
      <c r="B96" s="24"/>
      <c r="C96" s="52"/>
      <c r="D96" s="8" t="s">
        <v>6</v>
      </c>
      <c r="E96" s="9"/>
      <c r="F96" s="9"/>
      <c r="G96" s="9"/>
      <c r="H96" s="9"/>
      <c r="I96" s="9"/>
      <c r="J96" s="9"/>
      <c r="K96" s="45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2022-08-05T14:08:53Z</dcterms:modified>
</cp:coreProperties>
</file>