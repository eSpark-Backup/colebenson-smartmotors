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ColeBenson-SmartMotors\Deliverables\SM_Bottom Board\_BOM\"/>
    </mc:Choice>
  </mc:AlternateContent>
  <bookViews>
    <workbookView xWindow="28680" yWindow="-120" windowWidth="29040" windowHeight="15840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10" i="1"/>
  <c r="Q41" i="1"/>
  <c r="B41" i="1"/>
  <c r="Q40" i="1"/>
  <c r="B40" i="1"/>
  <c r="Q39" i="1"/>
  <c r="B39" i="1"/>
  <c r="Q38" i="1"/>
  <c r="B38" i="1"/>
  <c r="Q37" i="1"/>
  <c r="B37" i="1"/>
  <c r="Q36" i="1"/>
  <c r="B36" i="1"/>
  <c r="Q35" i="1"/>
  <c r="B35" i="1"/>
  <c r="Q34" i="1"/>
  <c r="B34" i="1"/>
  <c r="Q33" i="1"/>
  <c r="B33" i="1"/>
  <c r="Q32" i="1"/>
  <c r="B32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3" i="1"/>
  <c r="B23" i="1"/>
  <c r="Q22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B11" i="1"/>
  <c r="B10" i="1"/>
  <c r="Q42" i="1" l="1"/>
  <c r="Q43" i="1" s="1"/>
</calcChain>
</file>

<file path=xl/sharedStrings.xml><?xml version="1.0" encoding="utf-8"?>
<sst xmlns="http://schemas.openxmlformats.org/spreadsheetml/2006/main" count="350" uniqueCount="222">
  <si>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</si>
  <si>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</si>
  <si>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</si>
  <si>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</si>
  <si>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</si>
  <si>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</si>
  <si>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</si>
  <si>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</si>
  <si>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Designator</t>
  </si>
  <si>
    <t>C1</t>
  </si>
  <si>
    <t>C12</t>
  </si>
  <si>
    <t>C13, C14</t>
  </si>
  <si>
    <t>C16, C17</t>
  </si>
  <si>
    <t>C18, C19</t>
  </si>
  <si>
    <t>D1</t>
  </si>
  <si>
    <t>D12</t>
  </si>
  <si>
    <t>FB1, FB2, FB3, FB4</t>
  </si>
  <si>
    <t>J3</t>
  </si>
  <si>
    <t>L1</t>
  </si>
  <si>
    <t>LED1</t>
  </si>
  <si>
    <t>P1</t>
  </si>
  <si>
    <t>Q1, Q2</t>
  </si>
  <si>
    <t>R1, R9, R10, R11, R12, R13, R14, R15, R16, R17, R18, R19, R20, R21, R22, R23, R24, R25, R26, R28, R29, R30, R31, R32, R33, R34, R35, R36, R37, R38, R39, R40, R41, R42, R43, R44, R45, R46, R47, R48</t>
  </si>
  <si>
    <t>R2, R27, RF1, RF2, RF3, RF4, RF5</t>
  </si>
  <si>
    <t>R3</t>
  </si>
  <si>
    <t>R4, R5</t>
  </si>
  <si>
    <t>R6, Rx3</t>
  </si>
  <si>
    <t>R7, R8</t>
  </si>
  <si>
    <t>Rx1, Rx2</t>
  </si>
  <si>
    <t>SB1, SB2, SB3, SB4, SB5, SB6, SB7, SB8</t>
  </si>
  <si>
    <t>SW1</t>
  </si>
  <si>
    <t>U1</t>
  </si>
  <si>
    <t>U2</t>
  </si>
  <si>
    <t>U3</t>
  </si>
  <si>
    <t>U4</t>
  </si>
  <si>
    <t>U5</t>
  </si>
  <si>
    <t>U9</t>
  </si>
  <si>
    <t>U10</t>
  </si>
  <si>
    <t>X1</t>
  </si>
  <si>
    <t>X2</t>
  </si>
  <si>
    <t>Description</t>
  </si>
  <si>
    <t>CAP CER 4.7UF 25V X5R 0603</t>
  </si>
  <si>
    <t>Cap Ceramic 0.1uF 50VDC X7R 10% SMD 0603 Paper T/R</t>
  </si>
  <si>
    <t>CAP TANT 1UF 10% 16V 1206</t>
  </si>
  <si>
    <t>CAP, 2.2µF, 35V, 10%, X5R, 0603</t>
  </si>
  <si>
    <t>CAP 30pF NP0 0603 50 V ±5 % SMD</t>
  </si>
  <si>
    <t>CAP CER 10PF 25V C0G 0201</t>
  </si>
  <si>
    <t>TVS DIODE 24VWM 41VC TO236AB</t>
  </si>
  <si>
    <t>TVS DIODE 5V 9.8V SOD923</t>
  </si>
  <si>
    <t>Ferrite Beads Multi-Layer 120Ohm 25% 100MHz 2A 45mOhm DCR 0603 Automotive T/R</t>
  </si>
  <si>
    <t>CONN RCPT 26POS 0.05 GOLD SMD</t>
  </si>
  <si>
    <t>Ferrite Beads 120Ohm 25% 100MHz 1.2A 0.13Ohm DCR 0603 Automotive T/R</t>
  </si>
  <si>
    <t>LED GREEN CLEAR CHIP SMD</t>
  </si>
  <si>
    <t>MACHINE PIN SOCKET 5P 2.54MM PIT</t>
  </si>
  <si>
    <t>TRANS NPN 40V 0.6A SMD SOT23-3</t>
  </si>
  <si>
    <t>RES SMD 0 OHM JUMPER 1/20W 0201</t>
  </si>
  <si>
    <t>RES SMD 10K Ohm 1% 1/10W 0603</t>
  </si>
  <si>
    <t>Res Thick Film 0201 806 Ohm 1% 1/20W ±200ppm/°C Molded SMD SMD Paper T/R</t>
  </si>
  <si>
    <t>RES SMD 1K 0.1W 0603  75 V, Thick Film</t>
  </si>
  <si>
    <t>RES SMD 470 OHM 50 V, 0603 100 mW,  1%,, RES SMD 470 OHM 50 V, 0603 100 mW,  1%, RC Series</t>
  </si>
  <si>
    <t>RES SMD 57.6 OHM 1% 1/10W 0603</t>
  </si>
  <si>
    <t>RES SMD 100 OHM 1% 1/10W 0603</t>
  </si>
  <si>
    <t>Solder Bridge ON</t>
  </si>
  <si>
    <t>No NO J pin 50mA 3mm 100MΩ 100000 12V 250gf@±30gf 2.6mm -30℃~+85℃ 0.65mm Black Round Button Brick nogging SPST SMD Tactile Switches ROHS</t>
  </si>
  <si>
    <t>IC MCU 32BIT 512KB FLASH 100LQFP</t>
  </si>
  <si>
    <t>IC TRANSCEIVER HALF 1/1 8SOIC</t>
  </si>
  <si>
    <t>SENSOR ANGLE 360DEG SMD</t>
  </si>
  <si>
    <t>IMUACCEL/GYROI2C/SPI14LGA</t>
  </si>
  <si>
    <t>IC BUF NON-INVERT 5.5V SOT23-5</t>
  </si>
  <si>
    <t>IC SENSOR THERMAL 3.0V 8TSSOP</t>
  </si>
  <si>
    <t>IC EEPROM 32KBIT I2C 1MHZ 8UDFN</t>
  </si>
  <si>
    <t>CRYSTAL 20.0000MHZ 18PF SMD</t>
  </si>
  <si>
    <t>Crystals 32.768KHz 7pF</t>
  </si>
  <si>
    <t>Footprint</t>
  </si>
  <si>
    <t>Cap0603</t>
  </si>
  <si>
    <t>Cap 0603</t>
  </si>
  <si>
    <t>CAP 0201</t>
  </si>
  <si>
    <t>SOT-23</t>
  </si>
  <si>
    <t>SOD-923</t>
  </si>
  <si>
    <t>MPZ1608S121ATDH5</t>
  </si>
  <si>
    <t>M55-6012642R</t>
  </si>
  <si>
    <t>IND 0603</t>
  </si>
  <si>
    <t>LED 0402</t>
  </si>
  <si>
    <t>SMC-1-05-1-GT</t>
  </si>
  <si>
    <t>Res-0201</t>
  </si>
  <si>
    <t>Res0603</t>
  </si>
  <si>
    <t>Solder Bridge</t>
  </si>
  <si>
    <t>GT-TC025D-H0065-L1</t>
  </si>
  <si>
    <t>SOIC-8</t>
  </si>
  <si>
    <t>SOT-23-5</t>
  </si>
  <si>
    <t>8-TSSOP</t>
  </si>
  <si>
    <t>8-UDFN-EP (2x3)</t>
  </si>
  <si>
    <t>HCM4920000000ABJT</t>
  </si>
  <si>
    <t>ECS-.327-7-34B-C-TR</t>
  </si>
  <si>
    <t>Manufacturer Part Number</t>
  </si>
  <si>
    <t>CL10A475KA8NQNC</t>
  </si>
  <si>
    <t>CL10B104KB8NNNC</t>
  </si>
  <si>
    <t>TAJA105K016RNJ</t>
  </si>
  <si>
    <t>GRM188R6YA225KA12D</t>
  </si>
  <si>
    <t>CC0603JRNPO9BN300</t>
  </si>
  <si>
    <t>CGA1A2C0G1E100D030BA</t>
  </si>
  <si>
    <t>PESD2CAN,215</t>
  </si>
  <si>
    <t>ESD9L5.0ST5G</t>
  </si>
  <si>
    <t>FBMH1608HL121-TV</t>
  </si>
  <si>
    <t>XZVG68W-2</t>
  </si>
  <si>
    <t>MMBT2222A-7-F</t>
  </si>
  <si>
    <t>RC0201JR-070RL</t>
  </si>
  <si>
    <t>RC0603FR-0710KL</t>
  </si>
  <si>
    <t>RMCF0201FT806R</t>
  </si>
  <si>
    <t>RC0603JR-071KL</t>
  </si>
  <si>
    <t>RC0603FR-07470RL</t>
  </si>
  <si>
    <t>RC0603FR-0757R6L</t>
  </si>
  <si>
    <t>RC0603FR-07100RL</t>
  </si>
  <si>
    <t>STM32F407VET6</t>
  </si>
  <si>
    <t>SN65HVDA1040AQDRQ1</t>
  </si>
  <si>
    <t>TLE5012BE1000</t>
  </si>
  <si>
    <t>LSM6DSLTR</t>
  </si>
  <si>
    <t>SN74LV1T34DBVR</t>
  </si>
  <si>
    <t>MCP9805-BE/ST</t>
  </si>
  <si>
    <t>CAT24C32HU4I-GT3</t>
  </si>
  <si>
    <t>Manufacturer</t>
  </si>
  <si>
    <t>Samsung</t>
  </si>
  <si>
    <t>Kyocera AVX</t>
  </si>
  <si>
    <t>Murata</t>
  </si>
  <si>
    <t>Yageo</t>
  </si>
  <si>
    <t>TDK</t>
  </si>
  <si>
    <t>Nexperia</t>
  </si>
  <si>
    <t>ON Semiconductor</t>
  </si>
  <si>
    <t>Harwin</t>
  </si>
  <si>
    <t>Taiyo Yuden</t>
  </si>
  <si>
    <t>SunLED</t>
  </si>
  <si>
    <t>Adam Equipment</t>
  </si>
  <si>
    <t>Diodes</t>
  </si>
  <si>
    <t>Stackpole Electronics</t>
  </si>
  <si>
    <t>G-Switch</t>
  </si>
  <si>
    <t>STMicroelectronics</t>
  </si>
  <si>
    <t>Texas Instruments</t>
  </si>
  <si>
    <t>Infineon</t>
  </si>
  <si>
    <t>Microchip</t>
  </si>
  <si>
    <t>CITIZEN</t>
  </si>
  <si>
    <t>ECS International</t>
  </si>
  <si>
    <t>LCSC Part Number</t>
  </si>
  <si>
    <t>C126672</t>
  </si>
  <si>
    <t>4.7UF</t>
  </si>
  <si>
    <t>0.1uF</t>
  </si>
  <si>
    <t>2.2uF</t>
  </si>
  <si>
    <t>30pF</t>
  </si>
  <si>
    <t>10pF</t>
  </si>
  <si>
    <t>0R</t>
  </si>
  <si>
    <t>10K</t>
  </si>
  <si>
    <t>806R</t>
  </si>
  <si>
    <t>1K</t>
  </si>
  <si>
    <t>470R</t>
  </si>
  <si>
    <t>57R6</t>
  </si>
  <si>
    <t>100R</t>
  </si>
  <si>
    <t>20MHz</t>
  </si>
  <si>
    <t>Quantity</t>
  </si>
  <si>
    <t>Item Type</t>
  </si>
  <si>
    <t>Alternate Part Number</t>
  </si>
  <si>
    <t>Quantity (20 Boards)</t>
  </si>
  <si>
    <t>MOQ (20 Boards)</t>
  </si>
  <si>
    <t>Links</t>
  </si>
  <si>
    <t>Unit Cost (20 Boards)</t>
  </si>
  <si>
    <t>Total Cost (20 Boards)</t>
  </si>
  <si>
    <t>Review</t>
  </si>
  <si>
    <t>Capacitor</t>
  </si>
  <si>
    <t>Diode</t>
  </si>
  <si>
    <t>Ferrite Bead</t>
  </si>
  <si>
    <t>Connector</t>
  </si>
  <si>
    <t>LED</t>
  </si>
  <si>
    <t>Header</t>
  </si>
  <si>
    <t>Transistor</t>
  </si>
  <si>
    <t>Resistor</t>
  </si>
  <si>
    <t>Switch</t>
  </si>
  <si>
    <t>IC</t>
  </si>
  <si>
    <t>Crystal</t>
  </si>
  <si>
    <t>1uF</t>
  </si>
  <si>
    <t>-</t>
  </si>
  <si>
    <t>32.768KHz</t>
  </si>
  <si>
    <t>C69335</t>
  </si>
  <si>
    <t>C1591</t>
  </si>
  <si>
    <t>C7174</t>
  </si>
  <si>
    <t>C86017</t>
  </si>
  <si>
    <t>C113797</t>
  </si>
  <si>
    <t>C2168858</t>
  </si>
  <si>
    <t>C75176</t>
  </si>
  <si>
    <t>C82326</t>
  </si>
  <si>
    <t>C307770</t>
  </si>
  <si>
    <t>C515365</t>
  </si>
  <si>
    <t>C401111</t>
  </si>
  <si>
    <t>C94515</t>
  </si>
  <si>
    <t>C106228</t>
  </si>
  <si>
    <t>C98220</t>
  </si>
  <si>
    <t>C474262</t>
  </si>
  <si>
    <t>C14676</t>
  </si>
  <si>
    <t>C114669</t>
  </si>
  <si>
    <t>C203694</t>
  </si>
  <si>
    <t>C105588</t>
  </si>
  <si>
    <t>C778132</t>
  </si>
  <si>
    <t>C12345, C28730</t>
  </si>
  <si>
    <t>C188675</t>
  </si>
  <si>
    <t>C123083</t>
  </si>
  <si>
    <t>C100024</t>
  </si>
  <si>
    <t>C233772</t>
  </si>
  <si>
    <t>Custom</t>
  </si>
  <si>
    <t>Ferrite0603</t>
  </si>
  <si>
    <t>100 LQFP</t>
  </si>
  <si>
    <t>QFN-24</t>
  </si>
  <si>
    <t>LGA-14</t>
  </si>
  <si>
    <t xml:space="preserve">Value </t>
  </si>
  <si>
    <t>UMK063CG100DTHF</t>
  </si>
  <si>
    <t>MHT136CGCT</t>
  </si>
  <si>
    <t>0201WMF8060TEE</t>
  </si>
  <si>
    <t>CR0603-FX-57R6ELF</t>
  </si>
  <si>
    <t>STM32F407VGT6, STM32F407VET6</t>
  </si>
  <si>
    <t>LCSC</t>
  </si>
  <si>
    <t>Mouser</t>
  </si>
  <si>
    <t>Digikey</t>
  </si>
  <si>
    <t>C2, C3, C4, C5, C6, C7, C8, C9, C10, C11, C15, C32, C33, C34, C36, C37, C50, CF1</t>
  </si>
  <si>
    <t>Bill of Materials for Project [SM_Bottom_Board.PrjPcb]</t>
  </si>
  <si>
    <t>SM_Bottom_Board</t>
  </si>
  <si>
    <t>Multiple options added for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</si>
</sst>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10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5" borderId="16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4" borderId="6" xfId="0" applyNumberFormat="1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0" xfId="0" applyNumberFormat="1" applyFont="1" applyFill="1" applyBorder="1" applyAlignment="1">
      <alignment horizontal="center" vertic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5" borderId="13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165" fontId="24" fillId="2" borderId="5" xfId="0" applyNumberFormat="1" applyFont="1" applyFill="1" applyBorder="1" applyAlignment="1">
      <alignment horizontal="center" vertical="center" wrapText="1"/>
    </xf>
    <xf numFmtId="165" fontId="24" fillId="2" borderId="16" xfId="0" applyNumberFormat="1" applyFont="1" applyFill="1" applyBorder="1" applyAlignment="1">
      <alignment horizontal="center" vertical="center" wrapText="1"/>
    </xf>
    <xf numFmtId="0" fontId="25" fillId="2" borderId="16" xfId="1" applyFill="1" applyBorder="1" applyAlignment="1">
      <alignment horizontal="center" vertical="center" wrapText="1"/>
    </xf>
    <xf numFmtId="0" fontId="25" fillId="4" borderId="17" xfId="1" applyFill="1" applyBorder="1" applyAlignment="1">
      <alignment horizontal="center" vertical="center" wrapText="1"/>
    </xf>
    <xf numFmtId="0" fontId="25" fillId="4" borderId="16" xfId="1" applyFill="1" applyBorder="1" applyAlignment="1">
      <alignment horizontal="center" vertical="center" wrapText="1"/>
    </xf>
    <xf numFmtId="0" fontId="25" fillId="2" borderId="17" xfId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165" fontId="18" fillId="4" borderId="5" xfId="0" applyNumberFormat="1" applyFont="1" applyFill="1" applyBorder="1" applyAlignment="1">
      <alignment horizontal="center" vertical="center" wrapText="1"/>
    </xf>
    <xf numFmtId="165" fontId="18" fillId="4" borderId="16" xfId="0" applyNumberFormat="1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/>
    </xf>
    <xf numFmtId="0" fontId="26" fillId="2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2</xdr:row>
      <xdr:rowOff>10417</xdr:rowOff>
    </xdr:from>
    <xdr:to>
      <xdr:col>17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adam-tech/SMC-1-05-1-GT/9831387" TargetMode="External"/><Relationship Id="rId18" Type="http://schemas.openxmlformats.org/officeDocument/2006/relationships/hyperlink" Target="https://www.lcsc.com/product-detail/Chip-Resistor-Surface-Mount_YAGEO-RC0603JR-071KL_C14676.html" TargetMode="External"/><Relationship Id="rId26" Type="http://schemas.openxmlformats.org/officeDocument/2006/relationships/hyperlink" Target="https://www.lcsc.com/product-detail/Buffers-Drivers_Texas-Instruments-SN74LV1T34DBVR_C100024.html" TargetMode="External"/><Relationship Id="rId3" Type="http://schemas.openxmlformats.org/officeDocument/2006/relationships/hyperlink" Target="https://www.lcsc.com/product-detail/span-style-background-color-ff0-Tantalum-span-Capacitors_Kyocera-AVX-TAJA105K016RNJ_C7174.html" TargetMode="External"/><Relationship Id="rId21" Type="http://schemas.openxmlformats.org/officeDocument/2006/relationships/hyperlink" Target="https://www.lcsc.com/product-detail/Tactile-Switches_G-Switch-GT-TC025D-H0065-L1_C778132.html" TargetMode="External"/><Relationship Id="rId7" Type="http://schemas.openxmlformats.org/officeDocument/2006/relationships/hyperlink" Target="https://www.lcsc.com/product-detail/span-style-background-color-ff0-ESD-span-Protection-Devices_Nexperia-PESD2CAN-215_C75176.html" TargetMode="External"/><Relationship Id="rId12" Type="http://schemas.openxmlformats.org/officeDocument/2006/relationships/hyperlink" Target="https://www.lcsc.com/product-detail/Light-Emitting-Diodes-span-style-background-color-ff0-LED-span_MEIHUA-MHT136CGCT_C401111.html" TargetMode="External"/><Relationship Id="rId17" Type="http://schemas.openxmlformats.org/officeDocument/2006/relationships/hyperlink" Target="https://www.lcsc.com/product-detail/Chip-Resistor-Surface-Mount_UNI-ROYAL-Uniroyal-Elec-0201WMF8060TEE_C474262.html" TargetMode="External"/><Relationship Id="rId25" Type="http://schemas.openxmlformats.org/officeDocument/2006/relationships/hyperlink" Target="https://www.lcsc.com/product-detail/Attitude-Sensor-Gyroscope_STMicroelectronics-LSM6DSLTR_C126672.html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Samsung-Electro-Mechanics-CL10B104KB8NNNC_C1591.html" TargetMode="External"/><Relationship Id="rId16" Type="http://schemas.openxmlformats.org/officeDocument/2006/relationships/hyperlink" Target="https://www.lcsc.com/product-detail/Chip-Resistor-Surface-Mount_YAGEO-RC0603FR-0710KL_C98220.html" TargetMode="External"/><Relationship Id="rId20" Type="http://schemas.openxmlformats.org/officeDocument/2006/relationships/hyperlink" Target="https://www.lcsc.com/product-detail/Chip-Resistor-Surface-Mount_BOURNS-CR0603-FX-57R6ELF_C203694.html" TargetMode="External"/><Relationship Id="rId29" Type="http://schemas.openxmlformats.org/officeDocument/2006/relationships/hyperlink" Target="https://www.lcsc.com/product-detail/Chip-Resistor-Surface-Mount_YAGEO-RC0603FR-07100RL_C105588.html" TargetMode="External"/><Relationship Id="rId1" Type="http://schemas.openxmlformats.org/officeDocument/2006/relationships/hyperlink" Target="https://www.lcsc.com/product-detail/Multilayer-Ceramic-Capacitors-MLCC-SMD-SMT_Samsung-Electro-Mechanics-CL10A475KA8NQNC_C69335.html" TargetMode="External"/><Relationship Id="rId6" Type="http://schemas.openxmlformats.org/officeDocument/2006/relationships/hyperlink" Target="https://www.lcsc.com/product-detail/Multilayer-Ceramic-Capacitors-MLCC-SMD-SMT_Taiyo-Yuden-UMK063CG100DTHF_C2168858.html" TargetMode="External"/><Relationship Id="rId11" Type="http://schemas.openxmlformats.org/officeDocument/2006/relationships/hyperlink" Target="https://www.lcsc.com/product-detail/Ferrite-Beads_Taiyo-Yuden-FBMH1608HL121-TV_C515365.html" TargetMode="External"/><Relationship Id="rId24" Type="http://schemas.openxmlformats.org/officeDocument/2006/relationships/hyperlink" Target="https://www.lcsc.com/product-detail/Position-Sensor_Infineon-Technologies-TLE5012BE1000_C123083.html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YAGEO-CC0603JRNPO9BN300_C113797.html" TargetMode="External"/><Relationship Id="rId15" Type="http://schemas.openxmlformats.org/officeDocument/2006/relationships/hyperlink" Target="https://www.lcsc.com/product-detail/Chip-Resistor-Surface-Mount_YAGEO-RC0201JR-070RL_C106228.html" TargetMode="External"/><Relationship Id="rId23" Type="http://schemas.openxmlformats.org/officeDocument/2006/relationships/hyperlink" Target="https://www.lcsc.com/product-detail/CAN-ICs_Texas-Instruments-SN65HVDA1040AQDRQ1_C188675.html" TargetMode="External"/><Relationship Id="rId28" Type="http://schemas.openxmlformats.org/officeDocument/2006/relationships/hyperlink" Target="https://eu.mouser.com/ProductDetail/ECS/ECS-.327-7-34B-C-TR?qs=wo4x%252BUeoG8U8yBn%2Foj%2FI7w%3D%3D&amp;utm_source=digipart&amp;utm_medium=aggregator&amp;utm_campaign=ECS-.327-7-34B-C-TR&amp;utm_term=ECS-.327-7-34B-C-TR&amp;utm_content=ECS" TargetMode="External"/><Relationship Id="rId10" Type="http://schemas.openxmlformats.org/officeDocument/2006/relationships/hyperlink" Target="https://eu.mouser.com/ProductDetail/Harwin/M55-6012642R?qs=rrS6PyfT74ceXT9Rk1eWQA%3D%3D" TargetMode="External"/><Relationship Id="rId19" Type="http://schemas.openxmlformats.org/officeDocument/2006/relationships/hyperlink" Target="https://www.lcsc.com/product-detail/Chip-Resistor-Surface-Mount_YAGEO-RC0603FR-07470RL_C114669.html" TargetMode="External"/><Relationship Id="rId31" Type="http://schemas.openxmlformats.org/officeDocument/2006/relationships/hyperlink" Target="https://www.digikey.com/en/products/detail/citizen-finedevice-co-ltd/HCM4920000000ABJT/284290?s=N4IgTCBcDaIBIGECyAWAnGADNnmCCAQgFIAqIAugL5A" TargetMode="External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www.lcsc.com/product-detail/Ferrite-Beads_TDK-MPZ1608S121ATDH5_C307770.html" TargetMode="External"/><Relationship Id="rId14" Type="http://schemas.openxmlformats.org/officeDocument/2006/relationships/hyperlink" Target="https://www.lcsc.com/product-detail/Bipolar-Transistors-BJT_Diodes-Incorporated-MMBT2222A-7-F_C94515.html" TargetMode="External"/><Relationship Id="rId22" Type="http://schemas.openxmlformats.org/officeDocument/2006/relationships/hyperlink" Target="https://www.lcsc.com/product-detail/Microcontroller-Units-MCUs-MPUs-SOCs_STMicroelectronics-STM32F407VET6_C28730.html" TargetMode="External"/><Relationship Id="rId27" Type="http://schemas.openxmlformats.org/officeDocument/2006/relationships/hyperlink" Target="https://www.lcsc.com/product-detail/EEPROM_onsemi-CAT24C32HU4I-GT3_C233772.html" TargetMode="External"/><Relationship Id="rId30" Type="http://schemas.openxmlformats.org/officeDocument/2006/relationships/hyperlink" Target="https://eu.mouser.com/ProductDetail/Microchip-Technology/MCP9805T-BE-ST?qs=QVBMgXxBiLz7mzfqWZNLHA%3D%3D" TargetMode="External"/><Relationship Id="rId8" Type="http://schemas.openxmlformats.org/officeDocument/2006/relationships/hyperlink" Target="https://www.lcsc.com/product-detail/span-style-background-color-ff0-ESD-span-Protection-Devices_onsemi-ESD9L5-0ST5G_C823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43"/>
  <sheetViews>
    <sheetView tabSelected="1" topLeftCell="E13" workbookViewId="0">
      <selection activeCell="I36" sqref="I36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7.7109375" bestFit="1" customWidth="1"/>
    <col min="9" max="9" width="26.42578125" bestFit="1" customWidth="1"/>
    <col min="10" max="10" width="17" bestFit="1" customWidth="1"/>
    <col min="11" max="11" width="8.425781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7.7109375" bestFit="1" customWidth="1"/>
    <col min="16" max="16" width="19.7109375" bestFit="1" customWidth="1"/>
    <col min="17" max="17" width="20.28515625" bestFit="1" customWidth="1"/>
    <col min="18" max="18" width="26.85546875" bestFit="1" customWidth="1"/>
  </cols>
  <sheetData>
    <row r="1" spans="1:18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0"/>
      <c r="L1" s="100"/>
      <c r="M1" s="100"/>
      <c r="N1" s="100"/>
      <c r="O1" s="100"/>
      <c r="P1" s="100"/>
      <c r="Q1" s="100"/>
      <c r="R1" s="101"/>
    </row>
    <row r="2" spans="1:18" ht="32.25" thickBot="1" x14ac:dyDescent="0.3">
      <c r="A2" s="1"/>
      <c r="B2" s="21"/>
      <c r="C2" s="32"/>
      <c r="D2" s="11" t="s">
        <v>0</v>
      </c>
      <c r="E2" s="11"/>
      <c r="F2" s="56" t="s">
        <v>219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3"/>
    </row>
    <row r="3" spans="1:18" x14ac:dyDescent="0.25">
      <c r="A3" s="1"/>
      <c r="B3" s="22"/>
      <c r="C3" s="33"/>
      <c r="D3" s="13" t="s">
        <v>1</v>
      </c>
      <c r="E3" s="13"/>
      <c r="F3" s="57" t="s">
        <v>220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102"/>
    </row>
    <row r="4" spans="1:18" x14ac:dyDescent="0.25">
      <c r="A4" s="1"/>
      <c r="B4" s="22"/>
      <c r="C4" s="33"/>
      <c r="D4" s="13" t="s">
        <v>2</v>
      </c>
      <c r="E4" s="13"/>
      <c r="F4" s="58" t="s">
        <v>220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103"/>
    </row>
    <row r="5" spans="1:18" x14ac:dyDescent="0.25">
      <c r="A5" s="1"/>
      <c r="B5" s="22"/>
      <c r="C5" s="33"/>
      <c r="D5" s="13" t="s">
        <v>3</v>
      </c>
      <c r="E5" s="13"/>
      <c r="F5" s="59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103"/>
    </row>
    <row r="6" spans="1:18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103"/>
    </row>
    <row r="7" spans="1:18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103"/>
    </row>
    <row r="8" spans="1:18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103"/>
    </row>
    <row r="9" spans="1:18" ht="15.75" thickBot="1" x14ac:dyDescent="0.3">
      <c r="A9" s="1"/>
      <c r="B9" s="30" t="s">
        <v>4</v>
      </c>
      <c r="C9" s="30" t="s">
        <v>157</v>
      </c>
      <c r="D9" s="30" t="s">
        <v>8</v>
      </c>
      <c r="E9" s="31" t="s">
        <v>40</v>
      </c>
      <c r="F9" s="61" t="s">
        <v>73</v>
      </c>
      <c r="G9" s="30" t="s">
        <v>94</v>
      </c>
      <c r="H9" s="60" t="s">
        <v>120</v>
      </c>
      <c r="I9" s="30" t="s">
        <v>158</v>
      </c>
      <c r="J9" s="30" t="s">
        <v>141</v>
      </c>
      <c r="K9" s="31" t="s">
        <v>209</v>
      </c>
      <c r="L9" s="30" t="s">
        <v>156</v>
      </c>
      <c r="M9" s="30" t="s">
        <v>159</v>
      </c>
      <c r="N9" s="60" t="s">
        <v>160</v>
      </c>
      <c r="O9" s="30" t="s">
        <v>161</v>
      </c>
      <c r="P9" s="30" t="s">
        <v>162</v>
      </c>
      <c r="Q9" s="60" t="s">
        <v>163</v>
      </c>
      <c r="R9" s="30" t="s">
        <v>164</v>
      </c>
    </row>
    <row r="10" spans="1:18" x14ac:dyDescent="0.25">
      <c r="A10" s="1"/>
      <c r="B10" s="50">
        <f>ROW(B10) - ROW($B$9)</f>
        <v>1</v>
      </c>
      <c r="C10" s="92" t="s">
        <v>165</v>
      </c>
      <c r="D10" s="93" t="s">
        <v>9</v>
      </c>
      <c r="E10" s="93" t="s">
        <v>41</v>
      </c>
      <c r="F10" s="94" t="s">
        <v>74</v>
      </c>
      <c r="G10" s="93" t="s">
        <v>95</v>
      </c>
      <c r="H10" s="94" t="s">
        <v>121</v>
      </c>
      <c r="I10" s="93" t="s">
        <v>177</v>
      </c>
      <c r="J10" s="94" t="s">
        <v>179</v>
      </c>
      <c r="K10" s="93" t="s">
        <v>143</v>
      </c>
      <c r="L10" s="95">
        <v>1</v>
      </c>
      <c r="M10" s="93">
        <f>L10*20</f>
        <v>20</v>
      </c>
      <c r="N10" s="94">
        <v>40</v>
      </c>
      <c r="O10" s="73" t="s">
        <v>215</v>
      </c>
      <c r="P10" s="96">
        <v>1.7399999999999999E-2</v>
      </c>
      <c r="Q10" s="97">
        <f>P10*N10</f>
        <v>0.69599999999999995</v>
      </c>
      <c r="R10" s="98"/>
    </row>
    <row r="11" spans="1:18" ht="36" x14ac:dyDescent="0.25">
      <c r="A11" s="1"/>
      <c r="B11" s="51">
        <f t="shared" ref="B11:B40" si="0">ROW(B11) - ROW($B$9)</f>
        <v>2</v>
      </c>
      <c r="C11" s="85" t="s">
        <v>165</v>
      </c>
      <c r="D11" s="86" t="s">
        <v>218</v>
      </c>
      <c r="E11" s="86" t="s">
        <v>42</v>
      </c>
      <c r="F11" s="87" t="s">
        <v>74</v>
      </c>
      <c r="G11" s="86" t="s">
        <v>96</v>
      </c>
      <c r="H11" s="87" t="s">
        <v>121</v>
      </c>
      <c r="I11" s="86" t="s">
        <v>177</v>
      </c>
      <c r="J11" s="87" t="s">
        <v>180</v>
      </c>
      <c r="K11" s="86" t="s">
        <v>144</v>
      </c>
      <c r="L11" s="89">
        <v>18</v>
      </c>
      <c r="M11" s="86">
        <f t="shared" ref="M11:M41" si="1">L11*20</f>
        <v>360</v>
      </c>
      <c r="N11" s="87">
        <v>400</v>
      </c>
      <c r="O11" s="74" t="s">
        <v>215</v>
      </c>
      <c r="P11" s="90">
        <v>2.3999999999999998E-3</v>
      </c>
      <c r="Q11" s="91">
        <f t="shared" ref="Q11" si="2">P11*N11</f>
        <v>0.96</v>
      </c>
      <c r="R11" s="86"/>
    </row>
    <row r="12" spans="1:18" x14ac:dyDescent="0.25">
      <c r="A12" s="1"/>
      <c r="B12" s="50">
        <f>ROW(B12) - ROW($B$9)</f>
        <v>3</v>
      </c>
      <c r="C12" s="92" t="s">
        <v>165</v>
      </c>
      <c r="D12" s="93" t="s">
        <v>10</v>
      </c>
      <c r="E12" s="93" t="s">
        <v>43</v>
      </c>
      <c r="F12" s="94" t="s">
        <v>204</v>
      </c>
      <c r="G12" s="93" t="s">
        <v>97</v>
      </c>
      <c r="H12" s="94" t="s">
        <v>122</v>
      </c>
      <c r="I12" s="93" t="s">
        <v>177</v>
      </c>
      <c r="J12" s="94" t="s">
        <v>181</v>
      </c>
      <c r="K12" s="93" t="s">
        <v>176</v>
      </c>
      <c r="L12" s="95">
        <v>1</v>
      </c>
      <c r="M12" s="93">
        <f t="shared" si="1"/>
        <v>20</v>
      </c>
      <c r="N12" s="94">
        <v>25</v>
      </c>
      <c r="O12" s="73" t="s">
        <v>215</v>
      </c>
      <c r="P12" s="96">
        <v>5.2600000000000001E-2</v>
      </c>
      <c r="Q12" s="97">
        <f>P12*N12</f>
        <v>1.3149999999999999</v>
      </c>
      <c r="R12" s="93"/>
    </row>
    <row r="13" spans="1:18" x14ac:dyDescent="0.25">
      <c r="A13" s="1"/>
      <c r="B13" s="51">
        <f t="shared" si="0"/>
        <v>4</v>
      </c>
      <c r="C13" s="85" t="s">
        <v>165</v>
      </c>
      <c r="D13" s="86" t="s">
        <v>11</v>
      </c>
      <c r="E13" s="86" t="s">
        <v>44</v>
      </c>
      <c r="F13" s="87" t="s">
        <v>75</v>
      </c>
      <c r="G13" s="86" t="s">
        <v>98</v>
      </c>
      <c r="H13" s="87" t="s">
        <v>123</v>
      </c>
      <c r="I13" s="86" t="s">
        <v>177</v>
      </c>
      <c r="J13" s="87" t="s">
        <v>182</v>
      </c>
      <c r="K13" s="86" t="s">
        <v>145</v>
      </c>
      <c r="L13" s="89">
        <v>2</v>
      </c>
      <c r="M13" s="86">
        <f t="shared" si="1"/>
        <v>40</v>
      </c>
      <c r="N13" s="87">
        <v>50</v>
      </c>
      <c r="O13" s="74" t="s">
        <v>215</v>
      </c>
      <c r="P13" s="90">
        <v>5.96E-2</v>
      </c>
      <c r="Q13" s="91">
        <f t="shared" ref="Q13" si="3">P13*N13</f>
        <v>2.98</v>
      </c>
      <c r="R13" s="86"/>
    </row>
    <row r="14" spans="1:18" x14ac:dyDescent="0.25">
      <c r="A14" s="1"/>
      <c r="B14" s="50">
        <f>ROW(B14) - ROW($B$9)</f>
        <v>5</v>
      </c>
      <c r="C14" s="92" t="s">
        <v>165</v>
      </c>
      <c r="D14" s="93" t="s">
        <v>12</v>
      </c>
      <c r="E14" s="93" t="s">
        <v>45</v>
      </c>
      <c r="F14" s="94" t="s">
        <v>75</v>
      </c>
      <c r="G14" s="93" t="s">
        <v>99</v>
      </c>
      <c r="H14" s="94" t="s">
        <v>124</v>
      </c>
      <c r="I14" s="93" t="s">
        <v>177</v>
      </c>
      <c r="J14" s="94" t="s">
        <v>183</v>
      </c>
      <c r="K14" s="93" t="s">
        <v>146</v>
      </c>
      <c r="L14" s="95">
        <v>2</v>
      </c>
      <c r="M14" s="93">
        <f t="shared" si="1"/>
        <v>40</v>
      </c>
      <c r="N14" s="94">
        <v>100</v>
      </c>
      <c r="O14" s="73" t="s">
        <v>215</v>
      </c>
      <c r="P14" s="96">
        <v>2.5999999999999999E-3</v>
      </c>
      <c r="Q14" s="97">
        <f>P14*N14</f>
        <v>0.26</v>
      </c>
      <c r="R14" s="93"/>
    </row>
    <row r="15" spans="1:18" x14ac:dyDescent="0.25">
      <c r="A15" s="1"/>
      <c r="B15" s="51">
        <f t="shared" si="0"/>
        <v>6</v>
      </c>
      <c r="C15" s="85" t="s">
        <v>165</v>
      </c>
      <c r="D15" s="86" t="s">
        <v>13</v>
      </c>
      <c r="E15" s="86" t="s">
        <v>46</v>
      </c>
      <c r="F15" s="87" t="s">
        <v>76</v>
      </c>
      <c r="G15" s="88" t="s">
        <v>100</v>
      </c>
      <c r="H15" s="87" t="s">
        <v>125</v>
      </c>
      <c r="I15" s="86" t="s">
        <v>210</v>
      </c>
      <c r="J15" s="87" t="s">
        <v>184</v>
      </c>
      <c r="K15" s="86" t="s">
        <v>147</v>
      </c>
      <c r="L15" s="89">
        <v>2</v>
      </c>
      <c r="M15" s="86">
        <f t="shared" si="1"/>
        <v>40</v>
      </c>
      <c r="N15" s="87">
        <v>50</v>
      </c>
      <c r="O15" s="74" t="s">
        <v>215</v>
      </c>
      <c r="P15" s="90">
        <v>6.4000000000000003E-3</v>
      </c>
      <c r="Q15" s="91">
        <f t="shared" ref="Q15" si="4">P15*N15</f>
        <v>0.32</v>
      </c>
      <c r="R15" s="86"/>
    </row>
    <row r="16" spans="1:18" x14ac:dyDescent="0.25">
      <c r="A16" s="1"/>
      <c r="B16" s="51">
        <f t="shared" si="0"/>
        <v>7</v>
      </c>
      <c r="C16" s="64" t="s">
        <v>166</v>
      </c>
      <c r="D16" s="40" t="s">
        <v>14</v>
      </c>
      <c r="E16" s="40" t="s">
        <v>47</v>
      </c>
      <c r="F16" s="41" t="s">
        <v>204</v>
      </c>
      <c r="G16" s="77" t="s">
        <v>101</v>
      </c>
      <c r="H16" s="41" t="s">
        <v>126</v>
      </c>
      <c r="I16" s="40" t="s">
        <v>177</v>
      </c>
      <c r="J16" s="41" t="s">
        <v>185</v>
      </c>
      <c r="K16" s="40" t="s">
        <v>177</v>
      </c>
      <c r="L16" s="79">
        <v>1</v>
      </c>
      <c r="M16" s="40">
        <f t="shared" si="1"/>
        <v>20</v>
      </c>
      <c r="N16" s="41">
        <v>25</v>
      </c>
      <c r="O16" s="73" t="s">
        <v>215</v>
      </c>
      <c r="P16" s="53">
        <v>0.1772</v>
      </c>
      <c r="Q16" s="43">
        <f t="shared" ref="Q16" si="5">P16*N16</f>
        <v>4.43</v>
      </c>
      <c r="R16" s="40"/>
    </row>
    <row r="17" spans="1:18" x14ac:dyDescent="0.25">
      <c r="A17" s="1"/>
      <c r="B17" s="50">
        <f>ROW(B17) - ROW($B$9)</f>
        <v>8</v>
      </c>
      <c r="C17" s="65" t="s">
        <v>166</v>
      </c>
      <c r="D17" s="38" t="s">
        <v>15</v>
      </c>
      <c r="E17" s="38" t="s">
        <v>48</v>
      </c>
      <c r="F17" s="39" t="s">
        <v>78</v>
      </c>
      <c r="G17" s="38" t="s">
        <v>102</v>
      </c>
      <c r="H17" s="39" t="s">
        <v>127</v>
      </c>
      <c r="I17" s="38" t="s">
        <v>177</v>
      </c>
      <c r="J17" s="39" t="s">
        <v>186</v>
      </c>
      <c r="K17" s="38" t="s">
        <v>177</v>
      </c>
      <c r="L17" s="78">
        <v>1</v>
      </c>
      <c r="M17" s="38">
        <f t="shared" si="1"/>
        <v>20</v>
      </c>
      <c r="N17" s="39">
        <v>25</v>
      </c>
      <c r="O17" s="74" t="s">
        <v>215</v>
      </c>
      <c r="P17" s="52">
        <v>6.1699999999999998E-2</v>
      </c>
      <c r="Q17" s="42">
        <f>P17*N17</f>
        <v>1.5425</v>
      </c>
      <c r="R17" s="38"/>
    </row>
    <row r="18" spans="1:18" ht="36" x14ac:dyDescent="0.25">
      <c r="A18" s="1"/>
      <c r="B18" s="51">
        <f t="shared" si="0"/>
        <v>9</v>
      </c>
      <c r="C18" s="64" t="s">
        <v>167</v>
      </c>
      <c r="D18" s="40" t="s">
        <v>16</v>
      </c>
      <c r="E18" s="40" t="s">
        <v>49</v>
      </c>
      <c r="F18" s="41" t="s">
        <v>205</v>
      </c>
      <c r="G18" s="40" t="s">
        <v>79</v>
      </c>
      <c r="H18" s="41" t="s">
        <v>125</v>
      </c>
      <c r="I18" s="40" t="s">
        <v>177</v>
      </c>
      <c r="J18" s="41" t="s">
        <v>187</v>
      </c>
      <c r="K18" s="40" t="s">
        <v>177</v>
      </c>
      <c r="L18" s="79">
        <v>4</v>
      </c>
      <c r="M18" s="40">
        <f t="shared" si="1"/>
        <v>80</v>
      </c>
      <c r="N18" s="41">
        <v>100</v>
      </c>
      <c r="O18" s="73" t="s">
        <v>215</v>
      </c>
      <c r="P18" s="53">
        <v>2.8000000000000001E-2</v>
      </c>
      <c r="Q18" s="43">
        <f t="shared" ref="Q18" si="6">P18*N18</f>
        <v>2.8000000000000003</v>
      </c>
      <c r="R18" s="40"/>
    </row>
    <row r="19" spans="1:18" x14ac:dyDescent="0.25">
      <c r="A19" s="1"/>
      <c r="B19" s="50">
        <f>ROW(B19) - ROW($B$9)</f>
        <v>10</v>
      </c>
      <c r="C19" s="63" t="s">
        <v>168</v>
      </c>
      <c r="D19" s="38" t="s">
        <v>17</v>
      </c>
      <c r="E19" s="38" t="s">
        <v>50</v>
      </c>
      <c r="F19" s="39" t="s">
        <v>204</v>
      </c>
      <c r="G19" s="38" t="s">
        <v>80</v>
      </c>
      <c r="H19" s="39" t="s">
        <v>128</v>
      </c>
      <c r="I19" s="38" t="s">
        <v>177</v>
      </c>
      <c r="J19" s="39" t="s">
        <v>177</v>
      </c>
      <c r="K19" s="38" t="s">
        <v>177</v>
      </c>
      <c r="L19" s="78">
        <v>1</v>
      </c>
      <c r="M19" s="38">
        <f t="shared" si="1"/>
        <v>20</v>
      </c>
      <c r="N19" s="39">
        <v>22</v>
      </c>
      <c r="O19" s="74" t="s">
        <v>216</v>
      </c>
      <c r="P19" s="52">
        <v>2.5099999999999998</v>
      </c>
      <c r="Q19" s="42">
        <f>P19*N19</f>
        <v>55.22</v>
      </c>
      <c r="R19" s="38"/>
    </row>
    <row r="20" spans="1:18" ht="36" x14ac:dyDescent="0.25">
      <c r="A20" s="1"/>
      <c r="B20" s="51">
        <f t="shared" si="0"/>
        <v>11</v>
      </c>
      <c r="C20" s="64" t="s">
        <v>167</v>
      </c>
      <c r="D20" s="40" t="s">
        <v>18</v>
      </c>
      <c r="E20" s="40" t="s">
        <v>51</v>
      </c>
      <c r="F20" s="41" t="s">
        <v>81</v>
      </c>
      <c r="G20" s="40" t="s">
        <v>103</v>
      </c>
      <c r="H20" s="41" t="s">
        <v>129</v>
      </c>
      <c r="I20" s="40" t="s">
        <v>177</v>
      </c>
      <c r="J20" s="41" t="s">
        <v>188</v>
      </c>
      <c r="K20" s="40" t="s">
        <v>177</v>
      </c>
      <c r="L20" s="79">
        <v>1</v>
      </c>
      <c r="M20" s="40">
        <f t="shared" si="1"/>
        <v>20</v>
      </c>
      <c r="N20" s="41">
        <v>25</v>
      </c>
      <c r="O20" s="73" t="s">
        <v>215</v>
      </c>
      <c r="P20" s="53">
        <v>8.7599999999999997E-2</v>
      </c>
      <c r="Q20" s="43">
        <f t="shared" ref="Q20" si="7">P20*N20</f>
        <v>2.19</v>
      </c>
      <c r="R20" s="40"/>
    </row>
    <row r="21" spans="1:18" x14ac:dyDescent="0.25">
      <c r="A21" s="1"/>
      <c r="B21" s="50">
        <f>ROW(B21) - ROW($B$9)</f>
        <v>12</v>
      </c>
      <c r="C21" s="63" t="s">
        <v>169</v>
      </c>
      <c r="D21" s="38" t="s">
        <v>19</v>
      </c>
      <c r="E21" s="38" t="s">
        <v>52</v>
      </c>
      <c r="F21" s="39" t="s">
        <v>82</v>
      </c>
      <c r="G21" s="67" t="s">
        <v>104</v>
      </c>
      <c r="H21" s="39" t="s">
        <v>130</v>
      </c>
      <c r="I21" s="38" t="s">
        <v>211</v>
      </c>
      <c r="J21" s="39" t="s">
        <v>189</v>
      </c>
      <c r="K21" s="38" t="s">
        <v>177</v>
      </c>
      <c r="L21" s="78">
        <v>1</v>
      </c>
      <c r="M21" s="38">
        <f t="shared" si="1"/>
        <v>20</v>
      </c>
      <c r="N21" s="39">
        <v>30</v>
      </c>
      <c r="O21" s="74" t="s">
        <v>215</v>
      </c>
      <c r="P21" s="52">
        <v>3.7900000000000003E-2</v>
      </c>
      <c r="Q21" s="42">
        <f>P21*N21</f>
        <v>1.137</v>
      </c>
      <c r="R21" s="38"/>
    </row>
    <row r="22" spans="1:18" x14ac:dyDescent="0.25">
      <c r="A22" s="1"/>
      <c r="B22" s="51">
        <f t="shared" si="0"/>
        <v>13</v>
      </c>
      <c r="C22" s="64" t="s">
        <v>170</v>
      </c>
      <c r="D22" s="40" t="s">
        <v>20</v>
      </c>
      <c r="E22" s="40" t="s">
        <v>53</v>
      </c>
      <c r="F22" s="41" t="s">
        <v>204</v>
      </c>
      <c r="G22" s="40" t="s">
        <v>83</v>
      </c>
      <c r="H22" s="41" t="s">
        <v>131</v>
      </c>
      <c r="I22" s="40" t="s">
        <v>177</v>
      </c>
      <c r="J22" s="41" t="s">
        <v>177</v>
      </c>
      <c r="K22" s="40" t="s">
        <v>177</v>
      </c>
      <c r="L22" s="79">
        <v>1</v>
      </c>
      <c r="M22" s="40">
        <f t="shared" si="1"/>
        <v>20</v>
      </c>
      <c r="N22" s="41">
        <v>25</v>
      </c>
      <c r="O22" s="73" t="s">
        <v>217</v>
      </c>
      <c r="P22" s="53">
        <v>0.30840000000000001</v>
      </c>
      <c r="Q22" s="43">
        <f t="shared" ref="Q22" si="8">P22*N22</f>
        <v>7.71</v>
      </c>
      <c r="R22" s="40"/>
    </row>
    <row r="23" spans="1:18" x14ac:dyDescent="0.25">
      <c r="A23" s="1"/>
      <c r="B23" s="50">
        <f>ROW(B23) - ROW($B$9)</f>
        <v>14</v>
      </c>
      <c r="C23" s="63" t="s">
        <v>171</v>
      </c>
      <c r="D23" s="38" t="s">
        <v>21</v>
      </c>
      <c r="E23" s="38" t="s">
        <v>54</v>
      </c>
      <c r="F23" s="39" t="s">
        <v>77</v>
      </c>
      <c r="G23" s="38" t="s">
        <v>105</v>
      </c>
      <c r="H23" s="39" t="s">
        <v>132</v>
      </c>
      <c r="I23" s="38" t="s">
        <v>177</v>
      </c>
      <c r="J23" s="39" t="s">
        <v>190</v>
      </c>
      <c r="K23" s="38" t="s">
        <v>177</v>
      </c>
      <c r="L23" s="78">
        <v>2</v>
      </c>
      <c r="M23" s="38">
        <f t="shared" si="1"/>
        <v>40</v>
      </c>
      <c r="N23" s="39">
        <v>60</v>
      </c>
      <c r="O23" s="74" t="s">
        <v>215</v>
      </c>
      <c r="P23" s="52">
        <v>3.0599999999999999E-2</v>
      </c>
      <c r="Q23" s="42">
        <f>P23*N23</f>
        <v>1.8359999999999999</v>
      </c>
      <c r="R23" s="38"/>
    </row>
    <row r="24" spans="1:18" ht="72" x14ac:dyDescent="0.25">
      <c r="A24" s="1"/>
      <c r="B24" s="51">
        <f t="shared" si="0"/>
        <v>15</v>
      </c>
      <c r="C24" s="64" t="s">
        <v>172</v>
      </c>
      <c r="D24" s="40" t="s">
        <v>22</v>
      </c>
      <c r="E24" s="40" t="s">
        <v>55</v>
      </c>
      <c r="F24" s="41" t="s">
        <v>84</v>
      </c>
      <c r="G24" s="40" t="s">
        <v>106</v>
      </c>
      <c r="H24" s="41" t="s">
        <v>124</v>
      </c>
      <c r="I24" s="40" t="s">
        <v>177</v>
      </c>
      <c r="J24" s="41" t="s">
        <v>191</v>
      </c>
      <c r="K24" s="40" t="s">
        <v>148</v>
      </c>
      <c r="L24" s="79">
        <v>40</v>
      </c>
      <c r="M24" s="40">
        <f t="shared" si="1"/>
        <v>800</v>
      </c>
      <c r="N24" s="41">
        <v>900</v>
      </c>
      <c r="O24" s="73" t="s">
        <v>215</v>
      </c>
      <c r="P24" s="53">
        <v>8.0000000000000004E-4</v>
      </c>
      <c r="Q24" s="43">
        <f t="shared" ref="Q24" si="9">P24*N24</f>
        <v>0.72000000000000008</v>
      </c>
      <c r="R24" s="40"/>
    </row>
    <row r="25" spans="1:18" x14ac:dyDescent="0.25">
      <c r="A25" s="1"/>
      <c r="B25" s="50">
        <f>ROW(B25) - ROW($B$9)</f>
        <v>16</v>
      </c>
      <c r="C25" s="63" t="s">
        <v>172</v>
      </c>
      <c r="D25" s="38" t="s">
        <v>23</v>
      </c>
      <c r="E25" s="38" t="s">
        <v>56</v>
      </c>
      <c r="F25" s="39" t="s">
        <v>85</v>
      </c>
      <c r="G25" s="38" t="s">
        <v>107</v>
      </c>
      <c r="H25" s="39" t="s">
        <v>124</v>
      </c>
      <c r="I25" s="38" t="s">
        <v>177</v>
      </c>
      <c r="J25" s="39" t="s">
        <v>192</v>
      </c>
      <c r="K25" s="38" t="s">
        <v>149</v>
      </c>
      <c r="L25" s="78">
        <v>7</v>
      </c>
      <c r="M25" s="38">
        <f t="shared" si="1"/>
        <v>140</v>
      </c>
      <c r="N25" s="39">
        <v>200</v>
      </c>
      <c r="O25" s="74" t="s">
        <v>215</v>
      </c>
      <c r="P25" s="52">
        <v>1E-3</v>
      </c>
      <c r="Q25" s="42">
        <f>P25*N25</f>
        <v>0.2</v>
      </c>
      <c r="R25" s="38"/>
    </row>
    <row r="26" spans="1:18" ht="36" x14ac:dyDescent="0.25">
      <c r="A26" s="1"/>
      <c r="B26" s="51">
        <f t="shared" si="0"/>
        <v>17</v>
      </c>
      <c r="C26" s="64" t="s">
        <v>172</v>
      </c>
      <c r="D26" s="40" t="s">
        <v>24</v>
      </c>
      <c r="E26" s="40" t="s">
        <v>57</v>
      </c>
      <c r="F26" s="41" t="s">
        <v>84</v>
      </c>
      <c r="G26" s="76" t="s">
        <v>108</v>
      </c>
      <c r="H26" s="41" t="s">
        <v>133</v>
      </c>
      <c r="I26" s="40" t="s">
        <v>212</v>
      </c>
      <c r="J26" s="41" t="s">
        <v>193</v>
      </c>
      <c r="K26" s="40" t="s">
        <v>150</v>
      </c>
      <c r="L26" s="79">
        <v>1</v>
      </c>
      <c r="M26" s="40">
        <f t="shared" si="1"/>
        <v>20</v>
      </c>
      <c r="N26" s="41">
        <v>100</v>
      </c>
      <c r="O26" s="73" t="s">
        <v>215</v>
      </c>
      <c r="P26" s="53">
        <v>1.9E-3</v>
      </c>
      <c r="Q26" s="43">
        <f t="shared" ref="Q26" si="10">P26*N26</f>
        <v>0.19</v>
      </c>
      <c r="R26" s="40"/>
    </row>
    <row r="27" spans="1:18" ht="24" x14ac:dyDescent="0.25">
      <c r="A27" s="1"/>
      <c r="B27" s="50">
        <f>ROW(B27) - ROW($B$9)</f>
        <v>18</v>
      </c>
      <c r="C27" s="63" t="s">
        <v>172</v>
      </c>
      <c r="D27" s="38" t="s">
        <v>25</v>
      </c>
      <c r="E27" s="38" t="s">
        <v>58</v>
      </c>
      <c r="F27" s="39" t="s">
        <v>85</v>
      </c>
      <c r="G27" s="38" t="s">
        <v>109</v>
      </c>
      <c r="H27" s="39" t="s">
        <v>124</v>
      </c>
      <c r="I27" s="38" t="s">
        <v>177</v>
      </c>
      <c r="J27" s="39" t="s">
        <v>194</v>
      </c>
      <c r="K27" s="38" t="s">
        <v>151</v>
      </c>
      <c r="L27" s="78">
        <v>2</v>
      </c>
      <c r="M27" s="38">
        <f t="shared" si="1"/>
        <v>40</v>
      </c>
      <c r="N27" s="39">
        <v>100</v>
      </c>
      <c r="O27" s="74" t="s">
        <v>215</v>
      </c>
      <c r="P27" s="52">
        <v>1E-3</v>
      </c>
      <c r="Q27" s="42">
        <f>P27*N27</f>
        <v>0.1</v>
      </c>
      <c r="R27" s="38"/>
    </row>
    <row r="28" spans="1:18" ht="36" x14ac:dyDescent="0.25">
      <c r="A28" s="1"/>
      <c r="B28" s="51">
        <f t="shared" si="0"/>
        <v>19</v>
      </c>
      <c r="C28" s="64" t="s">
        <v>172</v>
      </c>
      <c r="D28" s="40" t="s">
        <v>26</v>
      </c>
      <c r="E28" s="40" t="s">
        <v>59</v>
      </c>
      <c r="F28" s="41" t="s">
        <v>85</v>
      </c>
      <c r="G28" s="40" t="s">
        <v>110</v>
      </c>
      <c r="H28" s="41" t="s">
        <v>124</v>
      </c>
      <c r="I28" s="40" t="s">
        <v>177</v>
      </c>
      <c r="J28" s="41" t="s">
        <v>195</v>
      </c>
      <c r="K28" s="40" t="s">
        <v>152</v>
      </c>
      <c r="L28" s="79">
        <v>2</v>
      </c>
      <c r="M28" s="40">
        <f t="shared" si="1"/>
        <v>40</v>
      </c>
      <c r="N28" s="41">
        <v>100</v>
      </c>
      <c r="O28" s="73" t="s">
        <v>215</v>
      </c>
      <c r="P28" s="53">
        <v>1.2999999999999999E-3</v>
      </c>
      <c r="Q28" s="43">
        <f t="shared" ref="Q28" si="11">P28*N28</f>
        <v>0.13</v>
      </c>
      <c r="R28" s="40"/>
    </row>
    <row r="29" spans="1:18" x14ac:dyDescent="0.25">
      <c r="A29" s="1"/>
      <c r="B29" s="50">
        <f>ROW(B29) - ROW($B$9)</f>
        <v>20</v>
      </c>
      <c r="C29" s="63" t="s">
        <v>172</v>
      </c>
      <c r="D29" s="38" t="s">
        <v>27</v>
      </c>
      <c r="E29" s="38" t="s">
        <v>60</v>
      </c>
      <c r="F29" s="39" t="s">
        <v>85</v>
      </c>
      <c r="G29" s="67" t="s">
        <v>111</v>
      </c>
      <c r="H29" s="39" t="s">
        <v>124</v>
      </c>
      <c r="I29" s="38" t="s">
        <v>213</v>
      </c>
      <c r="J29" s="39" t="s">
        <v>196</v>
      </c>
      <c r="K29" s="38" t="s">
        <v>153</v>
      </c>
      <c r="L29" s="78">
        <v>2</v>
      </c>
      <c r="M29" s="38">
        <f t="shared" si="1"/>
        <v>40</v>
      </c>
      <c r="N29" s="39">
        <v>50</v>
      </c>
      <c r="O29" s="74" t="s">
        <v>215</v>
      </c>
      <c r="P29" s="52">
        <v>2.7000000000000001E-3</v>
      </c>
      <c r="Q29" s="42">
        <f>P29*N29</f>
        <v>0.13500000000000001</v>
      </c>
      <c r="R29" s="38"/>
    </row>
    <row r="30" spans="1:18" x14ac:dyDescent="0.25">
      <c r="A30" s="1"/>
      <c r="B30" s="51">
        <f t="shared" si="0"/>
        <v>21</v>
      </c>
      <c r="C30" s="64" t="s">
        <v>172</v>
      </c>
      <c r="D30" s="40" t="s">
        <v>28</v>
      </c>
      <c r="E30" s="40" t="s">
        <v>61</v>
      </c>
      <c r="F30" s="41" t="s">
        <v>85</v>
      </c>
      <c r="G30" s="40" t="s">
        <v>112</v>
      </c>
      <c r="H30" s="41" t="s">
        <v>124</v>
      </c>
      <c r="I30" s="40" t="s">
        <v>177</v>
      </c>
      <c r="J30" s="41" t="s">
        <v>197</v>
      </c>
      <c r="K30" s="40" t="s">
        <v>154</v>
      </c>
      <c r="L30" s="79">
        <v>2</v>
      </c>
      <c r="M30" s="40">
        <f t="shared" si="1"/>
        <v>40</v>
      </c>
      <c r="N30" s="41">
        <v>100</v>
      </c>
      <c r="O30" s="73" t="s">
        <v>215</v>
      </c>
      <c r="P30" s="53">
        <v>8.9999999999999998E-4</v>
      </c>
      <c r="Q30" s="43">
        <f t="shared" ref="Q30" si="12">P30*N30</f>
        <v>0.09</v>
      </c>
      <c r="R30" s="40"/>
    </row>
    <row r="31" spans="1:18" ht="24" x14ac:dyDescent="0.25">
      <c r="A31" s="1"/>
      <c r="B31" s="50">
        <f>ROW(B31) - ROW($B$9)</f>
        <v>22</v>
      </c>
      <c r="C31" s="66" t="s">
        <v>86</v>
      </c>
      <c r="D31" s="67" t="s">
        <v>29</v>
      </c>
      <c r="E31" s="67" t="s">
        <v>62</v>
      </c>
      <c r="F31" s="68" t="s">
        <v>177</v>
      </c>
      <c r="G31" s="67" t="s">
        <v>86</v>
      </c>
      <c r="H31" s="68" t="s">
        <v>177</v>
      </c>
      <c r="I31" s="67" t="s">
        <v>177</v>
      </c>
      <c r="J31" s="68" t="s">
        <v>177</v>
      </c>
      <c r="K31" s="67" t="s">
        <v>177</v>
      </c>
      <c r="L31" s="80">
        <v>8</v>
      </c>
      <c r="M31" s="67">
        <f t="shared" si="1"/>
        <v>160</v>
      </c>
      <c r="N31" s="68">
        <v>160</v>
      </c>
      <c r="O31" s="75" t="s">
        <v>177</v>
      </c>
      <c r="P31" s="69" t="s">
        <v>177</v>
      </c>
      <c r="Q31" s="70" t="s">
        <v>177</v>
      </c>
      <c r="R31" s="67"/>
    </row>
    <row r="32" spans="1:18" ht="60" x14ac:dyDescent="0.25">
      <c r="A32" s="1"/>
      <c r="B32" s="51">
        <f t="shared" si="0"/>
        <v>23</v>
      </c>
      <c r="C32" s="64" t="s">
        <v>173</v>
      </c>
      <c r="D32" s="40" t="s">
        <v>30</v>
      </c>
      <c r="E32" s="40" t="s">
        <v>63</v>
      </c>
      <c r="F32" s="41" t="s">
        <v>204</v>
      </c>
      <c r="G32" s="40" t="s">
        <v>87</v>
      </c>
      <c r="H32" s="41" t="s">
        <v>134</v>
      </c>
      <c r="I32" s="40" t="s">
        <v>177</v>
      </c>
      <c r="J32" s="41" t="s">
        <v>198</v>
      </c>
      <c r="K32" s="40" t="s">
        <v>177</v>
      </c>
      <c r="L32" s="79">
        <v>1</v>
      </c>
      <c r="M32" s="40">
        <f t="shared" si="1"/>
        <v>20</v>
      </c>
      <c r="N32" s="41">
        <v>30</v>
      </c>
      <c r="O32" s="72" t="s">
        <v>215</v>
      </c>
      <c r="P32" s="53">
        <v>4.1399999999999999E-2</v>
      </c>
      <c r="Q32" s="43">
        <f t="shared" ref="Q32" si="13">P32*N32</f>
        <v>1.242</v>
      </c>
      <c r="R32" s="40"/>
    </row>
    <row r="33" spans="1:18" x14ac:dyDescent="0.25">
      <c r="A33" s="1"/>
      <c r="B33" s="50">
        <f>ROW(B33) - ROW($B$9)</f>
        <v>24</v>
      </c>
      <c r="C33" s="63" t="s">
        <v>174</v>
      </c>
      <c r="D33" s="38" t="s">
        <v>31</v>
      </c>
      <c r="E33" s="38" t="s">
        <v>64</v>
      </c>
      <c r="F33" s="39" t="s">
        <v>206</v>
      </c>
      <c r="G33" s="67" t="s">
        <v>113</v>
      </c>
      <c r="H33" s="39" t="s">
        <v>135</v>
      </c>
      <c r="I33" s="38" t="s">
        <v>214</v>
      </c>
      <c r="J33" s="39" t="s">
        <v>199</v>
      </c>
      <c r="K33" s="38" t="s">
        <v>177</v>
      </c>
      <c r="L33" s="78">
        <v>1</v>
      </c>
      <c r="M33" s="38">
        <f t="shared" si="1"/>
        <v>20</v>
      </c>
      <c r="N33" s="39">
        <v>22</v>
      </c>
      <c r="O33" s="71" t="s">
        <v>215</v>
      </c>
      <c r="P33" s="52">
        <v>10.652799999999999</v>
      </c>
      <c r="Q33" s="42">
        <f>P33*N33</f>
        <v>234.36159999999998</v>
      </c>
      <c r="R33" s="99" t="s">
        <v>221</v>
      </c>
    </row>
    <row r="34" spans="1:18" x14ac:dyDescent="0.25">
      <c r="A34" s="1"/>
      <c r="B34" s="51">
        <f t="shared" si="0"/>
        <v>25</v>
      </c>
      <c r="C34" s="64" t="s">
        <v>174</v>
      </c>
      <c r="D34" s="40" t="s">
        <v>32</v>
      </c>
      <c r="E34" s="40" t="s">
        <v>65</v>
      </c>
      <c r="F34" s="41" t="s">
        <v>88</v>
      </c>
      <c r="G34" s="77" t="s">
        <v>114</v>
      </c>
      <c r="H34" s="41" t="s">
        <v>136</v>
      </c>
      <c r="I34" s="40" t="s">
        <v>177</v>
      </c>
      <c r="J34" s="41" t="s">
        <v>200</v>
      </c>
      <c r="K34" s="40" t="s">
        <v>177</v>
      </c>
      <c r="L34" s="79">
        <v>1</v>
      </c>
      <c r="M34" s="40">
        <f t="shared" si="1"/>
        <v>20</v>
      </c>
      <c r="N34" s="41">
        <v>22</v>
      </c>
      <c r="O34" s="72" t="s">
        <v>215</v>
      </c>
      <c r="P34" s="53">
        <v>1.6387</v>
      </c>
      <c r="Q34" s="43">
        <f t="shared" ref="Q34" si="14">P34*N34</f>
        <v>36.051400000000001</v>
      </c>
      <c r="R34" s="40"/>
    </row>
    <row r="35" spans="1:18" x14ac:dyDescent="0.25">
      <c r="A35" s="1"/>
      <c r="B35" s="50">
        <f>ROW(B35) - ROW($B$9)</f>
        <v>26</v>
      </c>
      <c r="C35" s="63" t="s">
        <v>174</v>
      </c>
      <c r="D35" s="38" t="s">
        <v>33</v>
      </c>
      <c r="E35" s="38" t="s">
        <v>66</v>
      </c>
      <c r="F35" s="39" t="s">
        <v>207</v>
      </c>
      <c r="G35" s="67" t="s">
        <v>115</v>
      </c>
      <c r="H35" s="39" t="s">
        <v>137</v>
      </c>
      <c r="I35" s="38" t="s">
        <v>115</v>
      </c>
      <c r="J35" s="39" t="s">
        <v>201</v>
      </c>
      <c r="K35" s="38" t="s">
        <v>177</v>
      </c>
      <c r="L35" s="78">
        <v>1</v>
      </c>
      <c r="M35" s="38">
        <f t="shared" si="1"/>
        <v>20</v>
      </c>
      <c r="N35" s="39">
        <v>22</v>
      </c>
      <c r="O35" s="71" t="s">
        <v>215</v>
      </c>
      <c r="P35" s="52">
        <v>3.0720999999999998</v>
      </c>
      <c r="Q35" s="42">
        <f>P35*N35</f>
        <v>67.586199999999991</v>
      </c>
      <c r="R35" s="38"/>
    </row>
    <row r="36" spans="1:18" x14ac:dyDescent="0.25">
      <c r="A36" s="1"/>
      <c r="B36" s="51">
        <f t="shared" si="0"/>
        <v>27</v>
      </c>
      <c r="C36" s="64" t="s">
        <v>174</v>
      </c>
      <c r="D36" s="40" t="s">
        <v>34</v>
      </c>
      <c r="E36" s="40" t="s">
        <v>67</v>
      </c>
      <c r="F36" s="41" t="s">
        <v>208</v>
      </c>
      <c r="G36" s="76" t="s">
        <v>116</v>
      </c>
      <c r="H36" s="41" t="s">
        <v>135</v>
      </c>
      <c r="I36" s="40" t="s">
        <v>116</v>
      </c>
      <c r="J36" s="41" t="s">
        <v>142</v>
      </c>
      <c r="K36" s="40" t="s">
        <v>177</v>
      </c>
      <c r="L36" s="79">
        <v>1</v>
      </c>
      <c r="M36" s="40">
        <f t="shared" si="1"/>
        <v>20</v>
      </c>
      <c r="N36" s="41">
        <v>22</v>
      </c>
      <c r="O36" s="72" t="s">
        <v>215</v>
      </c>
      <c r="P36" s="53">
        <v>1.8360000000000001</v>
      </c>
      <c r="Q36" s="43">
        <f t="shared" ref="Q36" si="15">P36*N36</f>
        <v>40.392000000000003</v>
      </c>
      <c r="R36" s="40"/>
    </row>
    <row r="37" spans="1:18" x14ac:dyDescent="0.25">
      <c r="A37" s="1"/>
      <c r="B37" s="50">
        <f>ROW(B37) - ROW($B$9)</f>
        <v>28</v>
      </c>
      <c r="C37" s="63" t="s">
        <v>174</v>
      </c>
      <c r="D37" s="38" t="s">
        <v>35</v>
      </c>
      <c r="E37" s="38" t="s">
        <v>68</v>
      </c>
      <c r="F37" s="39" t="s">
        <v>89</v>
      </c>
      <c r="G37" s="38" t="s">
        <v>117</v>
      </c>
      <c r="H37" s="39" t="s">
        <v>136</v>
      </c>
      <c r="I37" s="38" t="s">
        <v>177</v>
      </c>
      <c r="J37" s="39" t="s">
        <v>202</v>
      </c>
      <c r="K37" s="38" t="s">
        <v>177</v>
      </c>
      <c r="L37" s="78">
        <v>1</v>
      </c>
      <c r="M37" s="38">
        <f t="shared" si="1"/>
        <v>20</v>
      </c>
      <c r="N37" s="39">
        <v>25</v>
      </c>
      <c r="O37" s="71" t="s">
        <v>215</v>
      </c>
      <c r="P37" s="52">
        <v>0.22670000000000001</v>
      </c>
      <c r="Q37" s="42">
        <f>P37*N37</f>
        <v>5.6675000000000004</v>
      </c>
      <c r="R37" s="38"/>
    </row>
    <row r="38" spans="1:18" x14ac:dyDescent="0.25">
      <c r="A38" s="1"/>
      <c r="B38" s="51">
        <f t="shared" si="0"/>
        <v>29</v>
      </c>
      <c r="C38" s="64" t="s">
        <v>174</v>
      </c>
      <c r="D38" s="40" t="s">
        <v>36</v>
      </c>
      <c r="E38" s="40" t="s">
        <v>69</v>
      </c>
      <c r="F38" s="41" t="s">
        <v>90</v>
      </c>
      <c r="G38" s="40" t="s">
        <v>118</v>
      </c>
      <c r="H38" s="41" t="s">
        <v>138</v>
      </c>
      <c r="I38" s="40" t="s">
        <v>177</v>
      </c>
      <c r="J38" s="41" t="s">
        <v>177</v>
      </c>
      <c r="K38" s="40" t="s">
        <v>177</v>
      </c>
      <c r="L38" s="79">
        <v>1</v>
      </c>
      <c r="M38" s="40">
        <f t="shared" si="1"/>
        <v>20</v>
      </c>
      <c r="N38" s="41">
        <v>22</v>
      </c>
      <c r="O38" s="72" t="s">
        <v>216</v>
      </c>
      <c r="P38" s="53">
        <v>1.06</v>
      </c>
      <c r="Q38" s="43">
        <f t="shared" ref="Q38" si="16">P38*N38</f>
        <v>23.32</v>
      </c>
      <c r="R38" s="40"/>
    </row>
    <row r="39" spans="1:18" x14ac:dyDescent="0.25">
      <c r="A39" s="1"/>
      <c r="B39" s="50">
        <f>ROW(B39) - ROW($B$9)</f>
        <v>30</v>
      </c>
      <c r="C39" s="63" t="s">
        <v>174</v>
      </c>
      <c r="D39" s="38" t="s">
        <v>37</v>
      </c>
      <c r="E39" s="38" t="s">
        <v>70</v>
      </c>
      <c r="F39" s="39" t="s">
        <v>91</v>
      </c>
      <c r="G39" s="38" t="s">
        <v>119</v>
      </c>
      <c r="H39" s="39" t="s">
        <v>127</v>
      </c>
      <c r="I39" s="38" t="s">
        <v>177</v>
      </c>
      <c r="J39" s="39" t="s">
        <v>203</v>
      </c>
      <c r="K39" s="38" t="s">
        <v>177</v>
      </c>
      <c r="L39" s="78">
        <v>1</v>
      </c>
      <c r="M39" s="38">
        <f t="shared" si="1"/>
        <v>20</v>
      </c>
      <c r="N39" s="39">
        <v>22</v>
      </c>
      <c r="O39" s="71" t="s">
        <v>215</v>
      </c>
      <c r="P39" s="52">
        <v>0.53300000000000003</v>
      </c>
      <c r="Q39" s="42">
        <f>P39*N39</f>
        <v>11.726000000000001</v>
      </c>
      <c r="R39" s="38"/>
    </row>
    <row r="40" spans="1:18" x14ac:dyDescent="0.25">
      <c r="A40" s="1"/>
      <c r="B40" s="51">
        <f t="shared" si="0"/>
        <v>31</v>
      </c>
      <c r="C40" s="64" t="s">
        <v>175</v>
      </c>
      <c r="D40" s="40" t="s">
        <v>38</v>
      </c>
      <c r="E40" s="40" t="s">
        <v>71</v>
      </c>
      <c r="F40" s="41" t="s">
        <v>204</v>
      </c>
      <c r="G40" s="40" t="s">
        <v>92</v>
      </c>
      <c r="H40" s="41" t="s">
        <v>139</v>
      </c>
      <c r="I40" s="40" t="s">
        <v>177</v>
      </c>
      <c r="J40" s="41" t="s">
        <v>177</v>
      </c>
      <c r="K40" s="40" t="s">
        <v>155</v>
      </c>
      <c r="L40" s="79">
        <v>1</v>
      </c>
      <c r="M40" s="40">
        <f t="shared" si="1"/>
        <v>20</v>
      </c>
      <c r="N40" s="41">
        <v>22</v>
      </c>
      <c r="O40" s="72" t="s">
        <v>217</v>
      </c>
      <c r="P40" s="53">
        <v>0.505</v>
      </c>
      <c r="Q40" s="43">
        <f t="shared" ref="Q40" si="17">P40*N40</f>
        <v>11.11</v>
      </c>
      <c r="R40" s="40"/>
    </row>
    <row r="41" spans="1:18" ht="15.75" thickBot="1" x14ac:dyDescent="0.3">
      <c r="A41" s="1"/>
      <c r="B41" s="81">
        <f>ROW(B41) - ROW($B$9)</f>
        <v>32</v>
      </c>
      <c r="C41" s="82" t="s">
        <v>175</v>
      </c>
      <c r="D41" s="62" t="s">
        <v>39</v>
      </c>
      <c r="E41" s="62" t="s">
        <v>72</v>
      </c>
      <c r="F41" s="83" t="s">
        <v>204</v>
      </c>
      <c r="G41" s="62" t="s">
        <v>93</v>
      </c>
      <c r="H41" s="83" t="s">
        <v>140</v>
      </c>
      <c r="I41" s="62" t="s">
        <v>177</v>
      </c>
      <c r="J41" s="83" t="s">
        <v>177</v>
      </c>
      <c r="K41" s="62" t="s">
        <v>178</v>
      </c>
      <c r="L41" s="84">
        <v>1</v>
      </c>
      <c r="M41" s="62">
        <f t="shared" si="1"/>
        <v>20</v>
      </c>
      <c r="N41" s="39">
        <v>22</v>
      </c>
      <c r="O41" s="71" t="s">
        <v>216</v>
      </c>
      <c r="P41" s="52">
        <v>0.69</v>
      </c>
      <c r="Q41" s="42">
        <f>P41*N41</f>
        <v>15.18</v>
      </c>
      <c r="R41" s="62"/>
    </row>
    <row r="42" spans="1:18" ht="19.5" thickBot="1" x14ac:dyDescent="0.3">
      <c r="A42" s="1"/>
      <c r="B42" s="44"/>
      <c r="C42" s="45"/>
      <c r="D42" s="46"/>
      <c r="E42" s="47"/>
      <c r="F42" s="48"/>
      <c r="G42" s="49"/>
      <c r="H42" s="48"/>
      <c r="I42" s="49"/>
      <c r="J42" s="48"/>
      <c r="K42" s="49"/>
      <c r="L42" s="49"/>
      <c r="M42" s="49"/>
      <c r="N42" s="106" t="s">
        <v>5</v>
      </c>
      <c r="O42" s="107"/>
      <c r="P42" s="107"/>
      <c r="Q42" s="54">
        <f>SUM(Q10:Q41)</f>
        <v>531.59819999999991</v>
      </c>
      <c r="R42" s="104"/>
    </row>
    <row r="43" spans="1:18" ht="19.5" thickBot="1" x14ac:dyDescent="0.3">
      <c r="A43" s="1"/>
      <c r="B43" s="25"/>
      <c r="C43" s="37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106" t="s">
        <v>6</v>
      </c>
      <c r="O43" s="107"/>
      <c r="P43" s="107"/>
      <c r="Q43" s="55">
        <f>Q42/20</f>
        <v>26.579909999999995</v>
      </c>
      <c r="R43" s="105"/>
    </row>
  </sheetData>
  <mergeCells count="5">
    <mergeCell ref="K1:R1"/>
    <mergeCell ref="R3:R8"/>
    <mergeCell ref="R42:R43"/>
    <mergeCell ref="N42:P42"/>
    <mergeCell ref="N43:P43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5" r:id="rId16"/>
    <hyperlink ref="O26" r:id="rId17"/>
    <hyperlink ref="O27" r:id="rId18"/>
    <hyperlink ref="O28" r:id="rId19"/>
    <hyperlink ref="O29" r:id="rId20"/>
    <hyperlink ref="O32" r:id="rId21"/>
    <hyperlink ref="O33" r:id="rId22"/>
    <hyperlink ref="O34" r:id="rId23"/>
    <hyperlink ref="O35" r:id="rId24"/>
    <hyperlink ref="O36" r:id="rId25"/>
    <hyperlink ref="O37" r:id="rId26"/>
    <hyperlink ref="O39" r:id="rId27"/>
    <hyperlink ref="O41" r:id="rId28"/>
    <hyperlink ref="O30" r:id="rId29"/>
    <hyperlink ref="O38" r:id="rId30"/>
    <hyperlink ref="O40" r:id="rId31"/>
  </hyperlinks>
  <pageMargins left="0.7" right="0.7" top="0.75" bottom="0.75" header="0.3" footer="0.3"/>
  <pageSetup paperSize="9" orientation="portrait" r:id="rId32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2023-01-04T21:54:45Z</dcterms:modified>
</cp:coreProperties>
</file>