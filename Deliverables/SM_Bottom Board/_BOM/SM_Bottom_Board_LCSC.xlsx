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ColeBenson-SmartMotors\Deliverables\SM_Bottom Board\_BOM\"/>
    </mc:Choice>
  </mc:AlternateContent>
  <xr:revisionPtr revIDLastSave="0" documentId="13_ncr:1_{17D6AA03-4E0B-4BBE-9E77-171D15DF4C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7" i="1" l="1"/>
  <c r="S36" i="1"/>
  <c r="L35" i="1"/>
  <c r="S34" i="1"/>
  <c r="Q34" i="1"/>
  <c r="L34" i="1"/>
  <c r="S33" i="1"/>
  <c r="Q33" i="1"/>
  <c r="S32" i="1"/>
  <c r="Q32" i="1"/>
  <c r="L32" i="1"/>
  <c r="S31" i="1"/>
  <c r="Q31" i="1"/>
  <c r="L31" i="1"/>
  <c r="S30" i="1"/>
  <c r="Q30" i="1"/>
  <c r="L30" i="1"/>
  <c r="S29" i="1"/>
  <c r="Q29" i="1"/>
  <c r="L29" i="1"/>
  <c r="S28" i="1"/>
  <c r="Q28" i="1"/>
  <c r="L28" i="1"/>
  <c r="S27" i="1"/>
  <c r="Q27" i="1"/>
  <c r="L27" i="1"/>
  <c r="S26" i="1"/>
  <c r="Q26" i="1"/>
  <c r="L26" i="1"/>
  <c r="S25" i="1"/>
  <c r="Q25" i="1"/>
  <c r="L25" i="1"/>
  <c r="S24" i="1"/>
  <c r="Q24" i="1"/>
  <c r="L24" i="1"/>
  <c r="S23" i="1"/>
  <c r="Q23" i="1"/>
  <c r="L23" i="1"/>
  <c r="S22" i="1"/>
  <c r="Q22" i="1"/>
  <c r="L22" i="1"/>
  <c r="S21" i="1"/>
  <c r="Q21" i="1"/>
  <c r="L21" i="1"/>
  <c r="S20" i="1"/>
  <c r="Q20" i="1"/>
  <c r="L20" i="1"/>
  <c r="S19" i="1"/>
  <c r="Q19" i="1"/>
  <c r="L19" i="1"/>
  <c r="S18" i="1"/>
  <c r="Q18" i="1"/>
  <c r="L18" i="1"/>
  <c r="S17" i="1"/>
  <c r="Q17" i="1"/>
  <c r="L17" i="1"/>
  <c r="S16" i="1"/>
  <c r="Q16" i="1"/>
  <c r="L16" i="1"/>
  <c r="S15" i="1"/>
  <c r="Q15" i="1"/>
  <c r="L15" i="1"/>
  <c r="S14" i="1"/>
  <c r="Q14" i="1"/>
  <c r="L14" i="1"/>
  <c r="S13" i="1"/>
  <c r="Q13" i="1"/>
  <c r="L13" i="1"/>
  <c r="S12" i="1"/>
  <c r="Q12" i="1"/>
  <c r="L12" i="1"/>
  <c r="S11" i="1"/>
  <c r="Q11" i="1"/>
  <c r="L11" i="1"/>
  <c r="S10" i="1"/>
  <c r="Q10" i="1"/>
  <c r="L10" i="1"/>
  <c r="S9" i="1"/>
  <c r="Q9" i="1"/>
  <c r="L9" i="1"/>
  <c r="S8" i="1"/>
  <c r="Q8" i="1"/>
  <c r="L8" i="1"/>
  <c r="S7" i="1"/>
  <c r="Q7" i="1"/>
  <c r="L7" i="1"/>
  <c r="S6" i="1"/>
  <c r="Q6" i="1"/>
  <c r="L6" i="1"/>
  <c r="S5" i="1"/>
  <c r="Q5" i="1"/>
  <c r="L5" i="1"/>
  <c r="S4" i="1"/>
  <c r="Q4" i="1"/>
  <c r="L4" i="1"/>
  <c r="S3" i="1"/>
  <c r="Q3" i="1"/>
  <c r="L3" i="1"/>
  <c r="S37" i="1" l="1"/>
</calcChain>
</file>

<file path=xl/sharedStrings.xml><?xml version="1.0" encoding="utf-8"?>
<sst xmlns="http://schemas.openxmlformats.org/spreadsheetml/2006/main" count="338" uniqueCount="230">
  <si>
    <t>Bill of Material (BOM) for Cole Benson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</si>
  <si>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</si>
  <si>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</si>
  <si>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</si>
  <si>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</si>
  <si>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</si>
  <si>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</si>
  <si>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</si>
  <si>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</si>
  <si>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LCSC part no:</t>
  </si>
  <si>
    <t>Value</t>
  </si>
  <si>
    <t>Quantity (Per Board)</t>
  </si>
  <si>
    <t>Quantity 5</t>
  </si>
  <si>
    <t>MOQ(1)</t>
  </si>
  <si>
    <t>MOQ(5)</t>
  </si>
  <si>
    <t>LCSC Link</t>
  </si>
  <si>
    <t>Unit Cost(1)</t>
  </si>
  <si>
    <t>Total Cost(1)</t>
  </si>
  <si>
    <t>Unit Cost (5 Boards)</t>
  </si>
  <si>
    <t>Total Cost (5)</t>
  </si>
  <si>
    <t>Remarks</t>
  </si>
  <si>
    <t>Capacitor</t>
  </si>
  <si>
    <t>CAP CER 4.7UF 25V X5R 0603</t>
  </si>
  <si>
    <t>C1</t>
  </si>
  <si>
    <t>Cap0603</t>
  </si>
  <si>
    <t>CL10A475KA8NQNC</t>
  </si>
  <si>
    <t>Samsung</t>
  </si>
  <si>
    <t>--------</t>
  </si>
  <si>
    <t>C69335</t>
  </si>
  <si>
    <t>4.7UF</t>
  </si>
  <si>
    <t>LCSC</t>
  </si>
  <si>
    <t>Cap Ceramic 0.1uF 50VDC X7R 10% SMD 0603 Paper T/R</t>
  </si>
  <si>
    <t>C2, C3, C4, C5, C6, C7, C8, C9, C10, C11, C15, C20, C32, C33, C34, C35, C36, C37, C50,CF1</t>
  </si>
  <si>
    <t>CL10B104KB8NNNC</t>
  </si>
  <si>
    <t>C1591</t>
  </si>
  <si>
    <t>0.1uF</t>
  </si>
  <si>
    <t>CAP TANT 1UF 20% 25V 0603</t>
  </si>
  <si>
    <t>C12</t>
  </si>
  <si>
    <t>F981E105MMA</t>
  </si>
  <si>
    <t>Kyocera AVX</t>
  </si>
  <si>
    <t>1uF</t>
  </si>
  <si>
    <t>Chip1stop</t>
  </si>
  <si>
    <t>Stock:10</t>
  </si>
  <si>
    <t>CAP, 2.2µF, 35V, 10%, X5R, 0603</t>
  </si>
  <si>
    <t>C13, C14</t>
  </si>
  <si>
    <t>Cap 0603</t>
  </si>
  <si>
    <t>GRM188R6YA225KA12D</t>
  </si>
  <si>
    <t>Murata</t>
  </si>
  <si>
    <t>2.2uF</t>
  </si>
  <si>
    <t>CAP 30pF NP0 0603 50 V ±5 % SMD</t>
  </si>
  <si>
    <t>C16, C17</t>
  </si>
  <si>
    <t>CC0603JRNPO9BN300</t>
  </si>
  <si>
    <t>Yageo</t>
  </si>
  <si>
    <t>30pF</t>
  </si>
  <si>
    <t>CAP CER 10PF 25V C0G 0201</t>
  </si>
  <si>
    <t>C18, C19</t>
  </si>
  <si>
    <t>CAP 0201</t>
  </si>
  <si>
    <t>CGA1A2C0G1E100D030BA</t>
  </si>
  <si>
    <t>TDK</t>
  </si>
  <si>
    <t>GRM0335C1E100JA01D</t>
  </si>
  <si>
    <t>C161370</t>
  </si>
  <si>
    <t>10pF</t>
  </si>
  <si>
    <t>CAP CER 10UF 25V X5R 0603</t>
  </si>
  <si>
    <t>C31</t>
  </si>
  <si>
    <t>CL10A106MA8NRNC</t>
  </si>
  <si>
    <t>C2922482</t>
  </si>
  <si>
    <t>10uF'</t>
  </si>
  <si>
    <t>Diode</t>
  </si>
  <si>
    <t>Bidirectional 2.5V 3.5V 5V 20A (8/20us) DFN1006P2E TVS RoHS</t>
  </si>
  <si>
    <t>D1, D2</t>
  </si>
  <si>
    <t>DFN1006P2E</t>
  </si>
  <si>
    <t>AZ6225-01F.R7GR</t>
  </si>
  <si>
    <t>AMAZING</t>
  </si>
  <si>
    <t>----</t>
  </si>
  <si>
    <t>out of stock</t>
  </si>
  <si>
    <t>TVS DIODE 5V 9.8V SOD923</t>
  </si>
  <si>
    <t>D12</t>
  </si>
  <si>
    <t>SOD-923</t>
  </si>
  <si>
    <t>ESD9L5.0ST5G</t>
  </si>
  <si>
    <t>ON Semiconductor</t>
  </si>
  <si>
    <t>Aliexpress</t>
  </si>
  <si>
    <t>LED GREEN CLEAR CHIP SMD</t>
  </si>
  <si>
    <t>LED1</t>
  </si>
  <si>
    <t>LED 0402</t>
  </si>
  <si>
    <t>XZVG68W-2</t>
  </si>
  <si>
    <t>SunLED</t>
  </si>
  <si>
    <t>16-213/GHC-YR1S1/3T</t>
  </si>
  <si>
    <t>C74338</t>
  </si>
  <si>
    <t>Inductor</t>
  </si>
  <si>
    <t>Ferrite Beads 120Ohm 25% 100MHz 1.2A 0.13Ohm DCR 0603 Automotive T/R</t>
  </si>
  <si>
    <t>L1</t>
  </si>
  <si>
    <t>IND 0603</t>
  </si>
  <si>
    <t>FBMH1608HL121-TV</t>
  </si>
  <si>
    <t>Taiyo Yuden</t>
  </si>
  <si>
    <t>Ferrite Beads Multi-Layer 120Ohm 25% 100MHz 2A 45mOhm DCR 0603 Automotive T/R</t>
  </si>
  <si>
    <t>FB1, FB2, FB3, FB4</t>
  </si>
  <si>
    <t>MPZ1608S121ATDH5</t>
  </si>
  <si>
    <t>Chipmall</t>
  </si>
  <si>
    <t>Mosfet</t>
  </si>
  <si>
    <t>TRANS NPN 40V 0.6A SMD SOT23-3</t>
  </si>
  <si>
    <t>Q1, Q2</t>
  </si>
  <si>
    <t>SOT-23</t>
  </si>
  <si>
    <t>MMBT2222A-7-F</t>
  </si>
  <si>
    <t>Diodes</t>
  </si>
  <si>
    <t>C94515</t>
  </si>
  <si>
    <t>Resistor</t>
  </si>
  <si>
    <t>RES SMD 0 OHM JUMPER 1/20W 0201</t>
  </si>
  <si>
    <t>R1, R9, R10, R11, R12, R13, R14, R15, R16, R17, R18, R19, R20, R21, R22, R23, R24, R25, R26, R28, R29, R30, R31, R32, R33, R34, R35, R36, R37, R38, R39, R40, R41, R42, R43, R44, R45, R46, R47, R48</t>
  </si>
  <si>
    <t>Res-0201</t>
  </si>
  <si>
    <t>RC0201JR-070RL</t>
  </si>
  <si>
    <t>C106228</t>
  </si>
  <si>
    <t>0R</t>
  </si>
  <si>
    <t>RES SMD 10K Ohm 1% 1/10W 0603</t>
  </si>
  <si>
    <t>R2, R27, RF1, RF2, RF3, RF4, RF5</t>
  </si>
  <si>
    <t>Res0603</t>
  </si>
  <si>
    <t>RC0603FR-0710KL</t>
  </si>
  <si>
    <t>C98220</t>
  </si>
  <si>
    <t>10K</t>
  </si>
  <si>
    <t>Res Thick Film 0201 806 Ohm 1% 1/20W ±200ppm/°C Molded SMD SMD Paper T/R</t>
  </si>
  <si>
    <t>R3</t>
  </si>
  <si>
    <t>RMCF0201FT806R</t>
  </si>
  <si>
    <t>Stackpole Electronics</t>
  </si>
  <si>
    <t>0201WMF8060TEE</t>
  </si>
  <si>
    <t>C474262</t>
  </si>
  <si>
    <t>806R</t>
  </si>
  <si>
    <t>RES SMD 1K 0.1W 0603  75 V, Thick Film</t>
  </si>
  <si>
    <t>R4, R5</t>
  </si>
  <si>
    <t>RC0603JR-071KL</t>
  </si>
  <si>
    <t>C14676</t>
  </si>
  <si>
    <t>1K</t>
  </si>
  <si>
    <t>RES SMD 470 OHM 50 V, 0603 100 mW,  1%,</t>
  </si>
  <si>
    <t>R6</t>
  </si>
  <si>
    <t>RC0603FR-07470RL</t>
  </si>
  <si>
    <t>C114669</t>
  </si>
  <si>
    <t>470R</t>
  </si>
  <si>
    <t>Res SMD 0603 57.6Ohm 1% 1/10W</t>
  </si>
  <si>
    <t>R7, R8</t>
  </si>
  <si>
    <t>RC0603FR-0757R6L</t>
  </si>
  <si>
    <t>C245984</t>
  </si>
  <si>
    <t>57R6</t>
  </si>
  <si>
    <t>Switch</t>
  </si>
  <si>
    <t>SWITCH TACTILE SPST-NO 0.05A 12V</t>
  </si>
  <si>
    <t>SW1</t>
  </si>
  <si>
    <t>B3U-1000P</t>
  </si>
  <si>
    <t>Omron</t>
  </si>
  <si>
    <t>C231329</t>
  </si>
  <si>
    <t>Crystal</t>
  </si>
  <si>
    <t>CRYSTAL 20.0000MHZ 18PF SMD</t>
  </si>
  <si>
    <t>X1</t>
  </si>
  <si>
    <t>HCM4920000000ABJT</t>
  </si>
  <si>
    <t>CITIZEN</t>
  </si>
  <si>
    <t>C326545</t>
  </si>
  <si>
    <t>20MHz</t>
  </si>
  <si>
    <t>Stock:2</t>
  </si>
  <si>
    <t>Crystals 32.768KHz 7pF</t>
  </si>
  <si>
    <t>X2</t>
  </si>
  <si>
    <t>ECS-.327-7-34B-C-TR</t>
  </si>
  <si>
    <t>ECS International</t>
  </si>
  <si>
    <t>Ics</t>
  </si>
  <si>
    <t>IC MCU 32BIT 1MB FLASH 100LQFP</t>
  </si>
  <si>
    <t>U1</t>
  </si>
  <si>
    <t>LQFP-100</t>
  </si>
  <si>
    <t>STM32F407VGT7TR</t>
  </si>
  <si>
    <t>STMicroelectronics</t>
  </si>
  <si>
    <t>Not available</t>
  </si>
  <si>
    <t>IC TRANSCEIVER 1/1 8SOIC</t>
  </si>
  <si>
    <t>U2</t>
  </si>
  <si>
    <t>SOIC-8</t>
  </si>
  <si>
    <t>SN65HVDA1040BQDRQ1</t>
  </si>
  <si>
    <t>Texas Instruments</t>
  </si>
  <si>
    <t>ROTARY ENCODER MAGNETIC 4096PPR</t>
  </si>
  <si>
    <t>U3</t>
  </si>
  <si>
    <t>QFN-24</t>
  </si>
  <si>
    <t>AEAT-8800-Q24</t>
  </si>
  <si>
    <t>Broadcom Avago</t>
  </si>
  <si>
    <t>Price not written at website</t>
  </si>
  <si>
    <t>WIDE-FULL SCALE RANGE 6-AXIS MEM</t>
  </si>
  <si>
    <t>U4</t>
  </si>
  <si>
    <t>24-QFN (3x3)</t>
  </si>
  <si>
    <t>ICM-20649</t>
  </si>
  <si>
    <t>TDK InvenSense</t>
  </si>
  <si>
    <t>IC BUF NON-INVERT 5.5V SOT23-5</t>
  </si>
  <si>
    <t>U5</t>
  </si>
  <si>
    <t>SOT-23-5</t>
  </si>
  <si>
    <t>SN74LV1T34DBVR</t>
  </si>
  <si>
    <t>C100024</t>
  </si>
  <si>
    <t>IC SENSOR THERMAL 3.0V 8TSSOP</t>
  </si>
  <si>
    <t>U9</t>
  </si>
  <si>
    <t>8-TSSOP</t>
  </si>
  <si>
    <t>MCP9805-BE/ST</t>
  </si>
  <si>
    <t>Microchip</t>
  </si>
  <si>
    <t>IC EEPROM 32KBIT I2C 1MHZ 8UDFN</t>
  </si>
  <si>
    <t>U10</t>
  </si>
  <si>
    <t>8-UDFN-EP (2x3)</t>
  </si>
  <si>
    <t>CAT24C32HU4I-GT3</t>
  </si>
  <si>
    <t>C233772</t>
  </si>
  <si>
    <t>Connectors</t>
  </si>
  <si>
    <t>3A Surface Mount Header 1x2 SMD,P=2.54mm Pin Headers ROHS</t>
  </si>
  <si>
    <t>J2</t>
  </si>
  <si>
    <t>MH254RS-11-02-1000</t>
  </si>
  <si>
    <t>XFCN</t>
  </si>
  <si>
    <t>C668122</t>
  </si>
  <si>
    <t>CONN RCPT 26POS 0.05 GOLD SMD</t>
  </si>
  <si>
    <t>J3</t>
  </si>
  <si>
    <t>M55-6012642R</t>
  </si>
  <si>
    <t>Harwin</t>
  </si>
  <si>
    <t>MACHINE PIN SOCKET 5P 2.54MM PIT</t>
  </si>
  <si>
    <t>P1</t>
  </si>
  <si>
    <t>SMC-1-05-1-GT</t>
  </si>
  <si>
    <t>Adam Equipment</t>
  </si>
  <si>
    <t>Custom supplier</t>
  </si>
  <si>
    <t>Solder Bridge ON</t>
  </si>
  <si>
    <t>SB1, SB2, SB3, SB4, SB5, SB6, SB7, SB8</t>
  </si>
  <si>
    <t>Custom</t>
  </si>
  <si>
    <t>Solder Bridge</t>
  </si>
  <si>
    <t>-------------</t>
  </si>
  <si>
    <t>DO NOT Mount</t>
  </si>
  <si>
    <t xml:space="preserve">Total Component Cost </t>
  </si>
  <si>
    <t>Single Board Cost</t>
  </si>
  <si>
    <t xml:space="preserve">Custom </t>
  </si>
  <si>
    <t>-----</t>
  </si>
  <si>
    <t xml:space="preserve">C1608X5R1V225KT000E
</t>
  </si>
  <si>
    <t>C342978</t>
  </si>
  <si>
    <t>C113797</t>
  </si>
  <si>
    <t>-------</t>
  </si>
  <si>
    <t>C82326</t>
  </si>
  <si>
    <t>------</t>
  </si>
  <si>
    <t>Hans</t>
  </si>
  <si>
    <t xml:space="preserve">ILHB0603ER121V
</t>
  </si>
  <si>
    <t>C845116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</si>
</sst>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00"/>
    <numFmt numFmtId="165" formatCode="&quot;$&quot;#,##0.0000_);[Red]\(&quot;$&quot;#,##0.0000\)"/>
    <numFmt numFmtId="168" formatCode="_-[$$-409]* #,##0.00_ ;_-[$$-409]* \-#,##0.00\ ;_-[$$-409]* &quot;-&quot;??_ ;_-@_ "/>
    <numFmt numFmtId="169" formatCode="&quot;$&quot;#,##0.000"/>
    <numFmt numFmtId="170" formatCode="&quot;$&quot;#,##0.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4"/>
      <name val="Calibri"/>
      <charset val="134"/>
    </font>
    <font>
      <u/>
      <sz val="11"/>
      <color theme="10"/>
      <name val="Calibri"/>
      <charset val="134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trike/>
      <sz val="10"/>
      <color rgb="FFFF0000"/>
      <name val="Calibri"/>
      <family val="2"/>
    </font>
    <font>
      <sz val="10"/>
      <color rgb="FF444444"/>
      <name val="Calibri"/>
      <family val="2"/>
    </font>
    <font>
      <sz val="10"/>
      <color rgb="FF333333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rgb="FF800080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E3438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169" fontId="2" fillId="0" borderId="0" xfId="0" applyNumberFormat="1" applyFont="1" applyBorder="1" applyAlignment="1">
      <alignment horizontal="center" vertical="center"/>
    </xf>
    <xf numFmtId="169" fontId="2" fillId="0" borderId="0" xfId="0" applyNumberFormat="1" applyFont="1" applyBorder="1" applyAlignment="1">
      <alignment horizontal="center" vertical="center"/>
    </xf>
    <xf numFmtId="170" fontId="2" fillId="0" borderId="0" xfId="0" applyNumberFormat="1" applyFont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quotePrefix="1" applyFont="1" applyFill="1" applyBorder="1" applyAlignment="1">
      <alignment horizontal="left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left" vertical="center"/>
    </xf>
    <xf numFmtId="0" fontId="6" fillId="0" borderId="9" xfId="0" quotePrefix="1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left" vertical="center"/>
    </xf>
    <xf numFmtId="0" fontId="6" fillId="5" borderId="4" xfId="0" quotePrefix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8" xfId="0" quotePrefix="1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left" vertical="center" wrapText="1"/>
    </xf>
    <xf numFmtId="0" fontId="6" fillId="0" borderId="4" xfId="0" quotePrefix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6" borderId="6" xfId="0" quotePrefix="1" applyFont="1" applyFill="1" applyBorder="1" applyAlignment="1">
      <alignment horizontal="left" vertical="center"/>
    </xf>
    <xf numFmtId="0" fontId="6" fillId="6" borderId="1" xfId="0" quotePrefix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6" fillId="6" borderId="6" xfId="0" quotePrefix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6" xfId="0" quotePrefix="1" applyFont="1" applyFill="1" applyBorder="1" applyAlignment="1">
      <alignment horizontal="left" vertical="center"/>
    </xf>
    <xf numFmtId="0" fontId="6" fillId="7" borderId="1" xfId="0" quotePrefix="1" applyFont="1" applyFill="1" applyBorder="1" applyAlignment="1">
      <alignment horizontal="center" vertical="center" wrapText="1"/>
    </xf>
    <xf numFmtId="0" fontId="5" fillId="6" borderId="8" xfId="0" quotePrefix="1" applyFont="1" applyFill="1" applyBorder="1" applyAlignment="1">
      <alignment horizontal="left" vertical="center" wrapText="1"/>
    </xf>
    <xf numFmtId="0" fontId="7" fillId="6" borderId="9" xfId="0" quotePrefix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65" fontId="14" fillId="7" borderId="4" xfId="0" applyNumberFormat="1" applyFont="1" applyFill="1" applyBorder="1" applyAlignment="1">
      <alignment horizontal="center" vertical="center"/>
    </xf>
    <xf numFmtId="165" fontId="11" fillId="7" borderId="4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5" fontId="11" fillId="7" borderId="9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3" fillId="5" borderId="4" xfId="1" applyFont="1" applyFill="1" applyBorder="1" applyAlignment="1">
      <alignment horizontal="center" vertical="center"/>
    </xf>
    <xf numFmtId="165" fontId="14" fillId="5" borderId="4" xfId="0" applyNumberFormat="1" applyFont="1" applyFill="1" applyBorder="1" applyAlignment="1">
      <alignment horizontal="center" vertical="center"/>
    </xf>
    <xf numFmtId="165" fontId="11" fillId="5" borderId="4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5" fillId="6" borderId="4" xfId="1" applyFont="1" applyFill="1" applyBorder="1" applyAlignment="1">
      <alignment horizontal="center" vertical="center"/>
    </xf>
    <xf numFmtId="165" fontId="16" fillId="6" borderId="4" xfId="0" applyNumberFormat="1" applyFont="1" applyFill="1" applyBorder="1" applyAlignment="1">
      <alignment horizontal="center" vertical="center"/>
    </xf>
    <xf numFmtId="165" fontId="11" fillId="6" borderId="4" xfId="0" applyNumberFormat="1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/>
    </xf>
    <xf numFmtId="164" fontId="19" fillId="6" borderId="9" xfId="0" applyNumberFormat="1" applyFont="1" applyFill="1" applyBorder="1" applyAlignment="1">
      <alignment horizontal="center" vertical="center"/>
    </xf>
    <xf numFmtId="168" fontId="20" fillId="6" borderId="17" xfId="0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7" borderId="4" xfId="0" quotePrefix="1" applyFont="1" applyFill="1" applyBorder="1" applyAlignment="1">
      <alignment horizontal="center" vertical="center" wrapText="1"/>
    </xf>
    <xf numFmtId="0" fontId="6" fillId="9" borderId="6" xfId="0" quotePrefix="1" applyFont="1" applyFill="1" applyBorder="1" applyAlignment="1">
      <alignment horizontal="left" vertical="center"/>
    </xf>
    <xf numFmtId="0" fontId="6" fillId="9" borderId="1" xfId="0" quotePrefix="1" applyFont="1" applyFill="1" applyBorder="1" applyAlignment="1">
      <alignment horizontal="center" vertical="center" wrapText="1"/>
    </xf>
    <xf numFmtId="0" fontId="13" fillId="9" borderId="1" xfId="1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10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9" xfId="0" quotePrefix="1" applyFont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165" fontId="14" fillId="0" borderId="19" xfId="0" applyNumberFormat="1" applyFont="1" applyBorder="1" applyAlignment="1">
      <alignment horizontal="center" vertical="center"/>
    </xf>
    <xf numFmtId="165" fontId="11" fillId="7" borderId="19" xfId="0" applyNumberFormat="1" applyFont="1" applyFill="1" applyBorder="1" applyAlignment="1">
      <alignment horizontal="center" vertical="center"/>
    </xf>
    <xf numFmtId="0" fontId="5" fillId="6" borderId="9" xfId="0" quotePrefix="1" applyFont="1" applyFill="1" applyBorder="1" applyAlignment="1">
      <alignment horizontal="left" vertical="center" wrapText="1"/>
    </xf>
    <xf numFmtId="0" fontId="6" fillId="0" borderId="25" xfId="0" quotePrefix="1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YAGEO-RC0603FR-0710KL_C98220.html" TargetMode="External"/><Relationship Id="rId13" Type="http://schemas.openxmlformats.org/officeDocument/2006/relationships/hyperlink" Target="https://lcsc.com/product-detail/Tactile-Switches_Omron-Electronics-B3U-1000P_C231329.html" TargetMode="External"/><Relationship Id="rId18" Type="http://schemas.openxmlformats.org/officeDocument/2006/relationships/hyperlink" Target="https://lcsc.com/product-detail/Multilayer-Ceramic-Capacitors-MLCC-SMD-SMT_YAGEO-CC0603JRNPO9BN300_C113797.html" TargetMode="External"/><Relationship Id="rId26" Type="http://schemas.openxmlformats.org/officeDocument/2006/relationships/hyperlink" Target="http://www.hansinformation.com/showstock.asp?id=289883" TargetMode="External"/><Relationship Id="rId3" Type="http://schemas.openxmlformats.org/officeDocument/2006/relationships/hyperlink" Target="https://www.chip1stop.com/PAK/en/product/detail?partId=AVX1-0713285&amp;utm_medium=cpc&amp;utm_campaign=aggregator&amp;utm_source=digipart&amp;utm_term=AVX1-0713285&amp;cid=digipart_AVX1-0713285" TargetMode="External"/><Relationship Id="rId21" Type="http://schemas.openxmlformats.org/officeDocument/2006/relationships/hyperlink" Target="https://lcsc.com/product-detail/Pin-Headers_XFCN-MH254RS-11-02-1000_C668122.html" TargetMode="External"/><Relationship Id="rId7" Type="http://schemas.openxmlformats.org/officeDocument/2006/relationships/hyperlink" Target="https://lcsc.com/product-detail/Bipolar-Transistors-BJT_Diodes-Incorporated-MMBT2222A-7-F_C94515.html" TargetMode="External"/><Relationship Id="rId12" Type="http://schemas.openxmlformats.org/officeDocument/2006/relationships/hyperlink" Target="https://lcsc.com/product-detail/Chip-Resistor-Surface-Mount_YAGEO-RC0603FR-0757R6L_C245984.html" TargetMode="External"/><Relationship Id="rId17" Type="http://schemas.openxmlformats.org/officeDocument/2006/relationships/hyperlink" Target="https://lcsc.com/product-detail/Chip-Resistor-Surface-Mount_YAGEO-RC0201JR-070RL_C106228.html" TargetMode="External"/><Relationship Id="rId25" Type="http://schemas.openxmlformats.org/officeDocument/2006/relationships/hyperlink" Target="http://www.hansinformation.com/showstock.asp?id=956024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6" Type="http://schemas.openxmlformats.org/officeDocument/2006/relationships/hyperlink" Target="https://www.aliexpress.com/item/1005001826100925.html?spm=a2g0o.productlist.0.0.7f162c44tuMoSg&amp;algo_pvid=da72e104-1f1c-4df5-8e3b-d0f9c8539cee&amp;algo_exp_id=da72e104-1f1c-4df5-8e3b-d0f9c8539cee-0" TargetMode="External"/><Relationship Id="rId20" Type="http://schemas.openxmlformats.org/officeDocument/2006/relationships/hyperlink" Target="https://lcsc.com/product-detail/EEPROM_onsemi-CAT24C32HU4I-GT3_C233772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Ferrite-Beads_Taiyo-Yuden-FBMH1608HL121-TV_C515365.html" TargetMode="External"/><Relationship Id="rId11" Type="http://schemas.openxmlformats.org/officeDocument/2006/relationships/hyperlink" Target="https://lcsc.com/product-detail/Chip-Resistor-Surface-Mount_YAGEO-RC0603FR-07470RL_C114669.html" TargetMode="External"/><Relationship Id="rId24" Type="http://schemas.openxmlformats.org/officeDocument/2006/relationships/hyperlink" Target="https://lcsc.com/product-detail/span-style-background-color-ff0-ESD-span-Protection-Devices_onsemi-ESD9L5-0ST5G_C82326.html" TargetMode="External"/><Relationship Id="rId5" Type="http://schemas.openxmlformats.org/officeDocument/2006/relationships/hyperlink" Target="https://lcsc.com/product-detail/Light-Emitting-Diodes-LED_Everlight-Elec-16-213-GHC-YR1S1-3T_C74338.html" TargetMode="External"/><Relationship Id="rId15" Type="http://schemas.openxmlformats.org/officeDocument/2006/relationships/hyperlink" Target="https://lcsc.com/product-detail/Logic-Buffers-Drivers-Receivers-Transceivers_Texas-Instruments-SN74LV1T34DBVR_C100024.html" TargetMode="External"/><Relationship Id="rId23" Type="http://schemas.openxmlformats.org/officeDocument/2006/relationships/hyperlink" Target="https://lcsc.com/product-detail/Multilayer-Ceramic-Capacitors-MLCC-SMD-SMT_Samsung-Electro-Mechanics-CL10A106MA8NRNC_C2922482.html" TargetMode="External"/><Relationship Id="rId10" Type="http://schemas.openxmlformats.org/officeDocument/2006/relationships/hyperlink" Target="https://lcsc.com/product-detail/Chip-Resistor-Surface-Mount_YAGEO-RC0603JR-071KL_C14676.html" TargetMode="External"/><Relationship Id="rId19" Type="http://schemas.openxmlformats.org/officeDocument/2006/relationships/hyperlink" Target="https://www.chipmall.com/product_detail/TDK/Ferrite-Beads/MPZ1608S121ATDH5_2177528.html" TargetMode="External"/><Relationship Id="rId4" Type="http://schemas.openxmlformats.org/officeDocument/2006/relationships/hyperlink" Target="https://lcsc.com/product-detail/Others_Murata-Electronics_GRM0335C1E100JA01D_Murata-Electronics-GRM0335C1E100JA01D_C161370.html" TargetMode="External"/><Relationship Id="rId9" Type="http://schemas.openxmlformats.org/officeDocument/2006/relationships/hyperlink" Target="https://lcsc.com/product-detail/Chip-Resistor-Surface-Mount_UNI-ROYAL-Uniroyal-Elec-0201WMF8060TEE_C474262.html" TargetMode="External"/><Relationship Id="rId14" Type="http://schemas.openxmlformats.org/officeDocument/2006/relationships/hyperlink" Target="https://lcsc.com/product-detail/Crystals_CITIZEN-HCM4920000000ABJT_C326545.html" TargetMode="External"/><Relationship Id="rId22" Type="http://schemas.openxmlformats.org/officeDocument/2006/relationships/hyperlink" Target="https://lcsc.com/product-detail/Multilayer-Ceramic-Capacitors-MLCC-SMD-SMT_TDK-C1608X5R1V225KT000E_C342978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8"/>
  <sheetViews>
    <sheetView tabSelected="1" zoomScale="70" zoomScaleNormal="70" workbookViewId="0">
      <selection activeCell="I44" sqref="I44"/>
    </sheetView>
  </sheetViews>
  <sheetFormatPr defaultColWidth="9" defaultRowHeight="15"/>
  <cols>
    <col min="1" max="1" width="6.140625" customWidth="1"/>
    <col min="2" max="2" width="16.5703125" customWidth="1"/>
    <col min="3" max="3" width="73.5703125" customWidth="1"/>
    <col min="4" max="4" width="48.42578125" bestFit="1" customWidth="1"/>
    <col min="5" max="5" width="23.42578125" bestFit="1" customWidth="1"/>
    <col min="6" max="6" width="26.42578125" bestFit="1" customWidth="1"/>
    <col min="7" max="7" width="21.28515625" bestFit="1" customWidth="1"/>
    <col min="8" max="8" width="24.140625" bestFit="1" customWidth="1"/>
    <col min="9" max="9" width="18" customWidth="1"/>
    <col min="10" max="10" width="7.5703125" bestFit="1" customWidth="1"/>
    <col min="11" max="11" width="21.85546875" bestFit="1" customWidth="1"/>
    <col min="12" max="14" width="13.42578125" customWidth="1"/>
    <col min="15" max="15" width="15.7109375" customWidth="1"/>
    <col min="16" max="16" width="14.5703125" customWidth="1"/>
    <col min="17" max="17" width="15.85546875" customWidth="1"/>
    <col min="18" max="18" width="24.5703125" customWidth="1"/>
    <col min="19" max="19" width="17.140625" customWidth="1"/>
    <col min="20" max="20" width="27.28515625" customWidth="1"/>
  </cols>
  <sheetData>
    <row r="1" spans="1:20" ht="19.5" thickBot="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3"/>
    </row>
    <row r="2" spans="1:20" ht="16.5" thickBot="1">
      <c r="A2" s="120" t="s">
        <v>1</v>
      </c>
      <c r="B2" s="129" t="s">
        <v>2</v>
      </c>
      <c r="C2" s="129" t="s">
        <v>3</v>
      </c>
      <c r="D2" s="129" t="s">
        <v>4</v>
      </c>
      <c r="E2" s="130" t="s">
        <v>5</v>
      </c>
      <c r="F2" s="129" t="s">
        <v>6</v>
      </c>
      <c r="G2" s="129" t="s">
        <v>7</v>
      </c>
      <c r="H2" s="130" t="s">
        <v>8</v>
      </c>
      <c r="I2" s="129" t="s">
        <v>9</v>
      </c>
      <c r="J2" s="129" t="s">
        <v>10</v>
      </c>
      <c r="K2" s="129" t="s">
        <v>11</v>
      </c>
      <c r="L2" s="129" t="s">
        <v>12</v>
      </c>
      <c r="M2" s="129" t="s">
        <v>13</v>
      </c>
      <c r="N2" s="131" t="s">
        <v>14</v>
      </c>
      <c r="O2" s="129" t="s">
        <v>15</v>
      </c>
      <c r="P2" s="129" t="s">
        <v>16</v>
      </c>
      <c r="Q2" s="129" t="s">
        <v>17</v>
      </c>
      <c r="R2" s="129" t="s">
        <v>18</v>
      </c>
      <c r="S2" s="129" t="s">
        <v>19</v>
      </c>
      <c r="T2" s="132" t="s">
        <v>20</v>
      </c>
    </row>
    <row r="3" spans="1:20" ht="15.75" thickBot="1">
      <c r="A3" s="152">
        <v>1</v>
      </c>
      <c r="B3" s="126" t="s">
        <v>21</v>
      </c>
      <c r="C3" s="9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1" t="s">
        <v>27</v>
      </c>
      <c r="I3" s="12" t="s">
        <v>28</v>
      </c>
      <c r="J3" s="10" t="s">
        <v>29</v>
      </c>
      <c r="K3" s="50">
        <v>1</v>
      </c>
      <c r="L3" s="50">
        <f>K3*5</f>
        <v>5</v>
      </c>
      <c r="M3" s="108">
        <v>20</v>
      </c>
      <c r="N3" s="109">
        <v>20</v>
      </c>
      <c r="O3" s="52" t="s">
        <v>30</v>
      </c>
      <c r="P3" s="53">
        <v>2.0299999999999999E-2</v>
      </c>
      <c r="Q3" s="54">
        <f>P3*M3</f>
        <v>0.40599999999999997</v>
      </c>
      <c r="R3" s="53">
        <v>2.0299999999999999E-2</v>
      </c>
      <c r="S3" s="54">
        <f>R3*N3</f>
        <v>0.40599999999999997</v>
      </c>
      <c r="T3" s="55"/>
    </row>
    <row r="4" spans="1:20" ht="26.25" thickBot="1">
      <c r="A4" s="152">
        <v>2</v>
      </c>
      <c r="B4" s="124"/>
      <c r="C4" s="13" t="s">
        <v>31</v>
      </c>
      <c r="D4" s="17" t="s">
        <v>32</v>
      </c>
      <c r="E4" s="8" t="s">
        <v>24</v>
      </c>
      <c r="F4" s="8" t="s">
        <v>33</v>
      </c>
      <c r="G4" s="8" t="s">
        <v>26</v>
      </c>
      <c r="H4" s="133" t="s">
        <v>27</v>
      </c>
      <c r="I4" s="14" t="s">
        <v>34</v>
      </c>
      <c r="J4" s="8" t="s">
        <v>35</v>
      </c>
      <c r="K4" s="56">
        <v>20</v>
      </c>
      <c r="L4" s="56">
        <f>K4*5</f>
        <v>100</v>
      </c>
      <c r="M4" s="110">
        <v>100</v>
      </c>
      <c r="N4" s="110">
        <v>200</v>
      </c>
      <c r="O4" s="57" t="s">
        <v>30</v>
      </c>
      <c r="P4" s="58">
        <v>2.8E-3</v>
      </c>
      <c r="Q4" s="59">
        <f t="shared" ref="Q4:Q34" si="0">P4*M4</f>
        <v>0.27999999999999997</v>
      </c>
      <c r="R4" s="58">
        <v>2.8E-3</v>
      </c>
      <c r="S4" s="59">
        <f t="shared" ref="S4:S34" si="1">R4*N4</f>
        <v>0.55999999999999994</v>
      </c>
      <c r="T4" s="60"/>
    </row>
    <row r="5" spans="1:20" ht="15.75" thickBot="1">
      <c r="A5" s="152">
        <v>3</v>
      </c>
      <c r="B5" s="124"/>
      <c r="C5" s="13" t="s">
        <v>36</v>
      </c>
      <c r="D5" s="8" t="s">
        <v>37</v>
      </c>
      <c r="E5" s="8" t="s">
        <v>219</v>
      </c>
      <c r="F5" s="8" t="s">
        <v>38</v>
      </c>
      <c r="G5" s="8" t="s">
        <v>39</v>
      </c>
      <c r="H5" s="133" t="s">
        <v>27</v>
      </c>
      <c r="I5" s="8" t="s">
        <v>220</v>
      </c>
      <c r="J5" s="8" t="s">
        <v>40</v>
      </c>
      <c r="K5" s="56">
        <v>1</v>
      </c>
      <c r="L5" s="56">
        <f t="shared" ref="L5:L15" si="2">K5*5</f>
        <v>5</v>
      </c>
      <c r="M5" s="110">
        <v>5</v>
      </c>
      <c r="N5" s="110">
        <v>7</v>
      </c>
      <c r="O5" s="57" t="s">
        <v>41</v>
      </c>
      <c r="P5" s="61">
        <v>0.23400000000000001</v>
      </c>
      <c r="Q5" s="59">
        <f t="shared" si="0"/>
        <v>1.1700000000000002</v>
      </c>
      <c r="R5" s="61">
        <v>0.23400000000000001</v>
      </c>
      <c r="S5" s="59">
        <f t="shared" si="1"/>
        <v>1.6380000000000001</v>
      </c>
      <c r="T5" s="60" t="s">
        <v>42</v>
      </c>
    </row>
    <row r="6" spans="1:20" ht="15.75" thickBot="1">
      <c r="A6" s="153">
        <v>4</v>
      </c>
      <c r="B6" s="124"/>
      <c r="C6" s="13" t="s">
        <v>43</v>
      </c>
      <c r="D6" s="8" t="s">
        <v>44</v>
      </c>
      <c r="E6" s="8" t="s">
        <v>45</v>
      </c>
      <c r="F6" s="106" t="s">
        <v>46</v>
      </c>
      <c r="G6" s="8" t="s">
        <v>47</v>
      </c>
      <c r="H6" s="133" t="s">
        <v>221</v>
      </c>
      <c r="I6" s="15" t="s">
        <v>222</v>
      </c>
      <c r="J6" s="8" t="s">
        <v>48</v>
      </c>
      <c r="K6" s="56">
        <v>2</v>
      </c>
      <c r="L6" s="56">
        <f t="shared" si="2"/>
        <v>10</v>
      </c>
      <c r="M6" s="110">
        <v>10</v>
      </c>
      <c r="N6" s="110">
        <v>20</v>
      </c>
      <c r="O6" s="107" t="s">
        <v>30</v>
      </c>
      <c r="P6" s="58">
        <v>5.1799999999999999E-2</v>
      </c>
      <c r="Q6" s="59">
        <f t="shared" si="0"/>
        <v>0.51800000000000002</v>
      </c>
      <c r="R6" s="58">
        <v>5.1799999999999999E-2</v>
      </c>
      <c r="S6" s="59">
        <f t="shared" si="1"/>
        <v>1.036</v>
      </c>
      <c r="T6" s="60"/>
    </row>
    <row r="7" spans="1:20" ht="15.75" thickBot="1">
      <c r="A7" s="152">
        <v>5</v>
      </c>
      <c r="B7" s="124"/>
      <c r="C7" s="16" t="s">
        <v>49</v>
      </c>
      <c r="D7" s="17" t="s">
        <v>50</v>
      </c>
      <c r="E7" s="17" t="s">
        <v>45</v>
      </c>
      <c r="F7" s="17" t="s">
        <v>51</v>
      </c>
      <c r="G7" s="17" t="s">
        <v>52</v>
      </c>
      <c r="H7" s="133" t="s">
        <v>27</v>
      </c>
      <c r="I7" s="8" t="s">
        <v>223</v>
      </c>
      <c r="J7" s="17" t="s">
        <v>53</v>
      </c>
      <c r="K7" s="62">
        <v>2</v>
      </c>
      <c r="L7" s="56">
        <f t="shared" si="2"/>
        <v>10</v>
      </c>
      <c r="M7" s="110">
        <v>50</v>
      </c>
      <c r="N7" s="110">
        <v>50</v>
      </c>
      <c r="O7" s="63" t="s">
        <v>30</v>
      </c>
      <c r="P7" s="58">
        <v>4.3E-3</v>
      </c>
      <c r="Q7" s="59">
        <f t="shared" si="0"/>
        <v>0.215</v>
      </c>
      <c r="R7" s="58">
        <v>4.3E-3</v>
      </c>
      <c r="S7" s="59">
        <f t="shared" si="1"/>
        <v>0.215</v>
      </c>
      <c r="T7" s="60"/>
    </row>
    <row r="8" spans="1:20" ht="15.75" thickBot="1">
      <c r="A8" s="152">
        <v>6</v>
      </c>
      <c r="B8" s="124"/>
      <c r="C8" s="13" t="s">
        <v>54</v>
      </c>
      <c r="D8" s="8" t="s">
        <v>55</v>
      </c>
      <c r="E8" s="8" t="s">
        <v>56</v>
      </c>
      <c r="F8" s="106" t="s">
        <v>57</v>
      </c>
      <c r="G8" s="8" t="s">
        <v>58</v>
      </c>
      <c r="H8" s="15" t="s">
        <v>59</v>
      </c>
      <c r="I8" s="15" t="s">
        <v>60</v>
      </c>
      <c r="J8" s="8" t="s">
        <v>61</v>
      </c>
      <c r="K8" s="56">
        <v>2</v>
      </c>
      <c r="L8" s="56">
        <f t="shared" si="2"/>
        <v>10</v>
      </c>
      <c r="M8" s="110">
        <v>100</v>
      </c>
      <c r="N8" s="110">
        <v>100</v>
      </c>
      <c r="O8" s="57" t="s">
        <v>30</v>
      </c>
      <c r="P8" s="58">
        <v>3.3E-3</v>
      </c>
      <c r="Q8" s="59">
        <f t="shared" si="0"/>
        <v>0.33</v>
      </c>
      <c r="R8" s="58">
        <v>3.3E-3</v>
      </c>
      <c r="S8" s="59">
        <f t="shared" si="1"/>
        <v>0.33</v>
      </c>
      <c r="T8" s="60"/>
    </row>
    <row r="9" spans="1:20" ht="15.75" thickBot="1">
      <c r="A9" s="152">
        <v>7</v>
      </c>
      <c r="B9" s="125"/>
      <c r="C9" s="18" t="s">
        <v>62</v>
      </c>
      <c r="D9" s="19" t="s">
        <v>63</v>
      </c>
      <c r="E9" s="19" t="s">
        <v>24</v>
      </c>
      <c r="F9" s="19" t="s">
        <v>64</v>
      </c>
      <c r="G9" s="19" t="s">
        <v>26</v>
      </c>
      <c r="H9" s="137" t="s">
        <v>27</v>
      </c>
      <c r="I9" s="20" t="s">
        <v>65</v>
      </c>
      <c r="J9" s="19" t="s">
        <v>66</v>
      </c>
      <c r="K9" s="64">
        <v>1</v>
      </c>
      <c r="L9" s="64">
        <f t="shared" si="2"/>
        <v>5</v>
      </c>
      <c r="M9" s="112">
        <v>20</v>
      </c>
      <c r="N9" s="112">
        <v>20</v>
      </c>
      <c r="O9" s="111" t="s">
        <v>30</v>
      </c>
      <c r="P9" s="66">
        <v>2.58E-2</v>
      </c>
      <c r="Q9" s="67">
        <f t="shared" si="0"/>
        <v>0.51600000000000001</v>
      </c>
      <c r="R9" s="66">
        <v>2.58E-2</v>
      </c>
      <c r="S9" s="67">
        <f t="shared" si="1"/>
        <v>0.51600000000000001</v>
      </c>
      <c r="T9" s="68"/>
    </row>
    <row r="10" spans="1:20" ht="15.75" thickBot="1">
      <c r="A10" s="152">
        <v>8</v>
      </c>
      <c r="B10" s="126" t="s">
        <v>67</v>
      </c>
      <c r="C10" s="21" t="s">
        <v>68</v>
      </c>
      <c r="D10" s="22" t="s">
        <v>69</v>
      </c>
      <c r="E10" s="22" t="s">
        <v>70</v>
      </c>
      <c r="F10" s="22" t="s">
        <v>71</v>
      </c>
      <c r="G10" s="22" t="s">
        <v>72</v>
      </c>
      <c r="H10" s="23" t="s">
        <v>27</v>
      </c>
      <c r="I10" s="23" t="s">
        <v>27</v>
      </c>
      <c r="J10" s="24" t="s">
        <v>73</v>
      </c>
      <c r="K10" s="69">
        <v>2</v>
      </c>
      <c r="L10" s="69">
        <f t="shared" si="2"/>
        <v>10</v>
      </c>
      <c r="M10" s="70"/>
      <c r="N10" s="70"/>
      <c r="O10" s="71"/>
      <c r="P10" s="72"/>
      <c r="Q10" s="73">
        <f t="shared" si="0"/>
        <v>0</v>
      </c>
      <c r="R10" s="72"/>
      <c r="S10" s="73">
        <f t="shared" si="1"/>
        <v>0</v>
      </c>
      <c r="T10" s="74" t="s">
        <v>74</v>
      </c>
    </row>
    <row r="11" spans="1:20" ht="15.75" thickBot="1">
      <c r="A11" s="152">
        <v>9</v>
      </c>
      <c r="B11" s="124"/>
      <c r="C11" s="13" t="s">
        <v>75</v>
      </c>
      <c r="D11" s="8" t="s">
        <v>76</v>
      </c>
      <c r="E11" s="8" t="s">
        <v>77</v>
      </c>
      <c r="F11" s="8" t="s">
        <v>78</v>
      </c>
      <c r="G11" s="8" t="s">
        <v>79</v>
      </c>
      <c r="H11" s="8" t="s">
        <v>224</v>
      </c>
      <c r="I11" s="15" t="s">
        <v>225</v>
      </c>
      <c r="J11" s="134" t="s">
        <v>73</v>
      </c>
      <c r="K11" s="56">
        <v>1</v>
      </c>
      <c r="L11" s="56">
        <f t="shared" si="2"/>
        <v>5</v>
      </c>
      <c r="M11" s="110">
        <v>5</v>
      </c>
      <c r="N11" s="110">
        <v>10</v>
      </c>
      <c r="O11" s="107" t="s">
        <v>30</v>
      </c>
      <c r="P11" s="61">
        <v>9.9000000000000005E-2</v>
      </c>
      <c r="Q11" s="59">
        <f t="shared" si="0"/>
        <v>0.495</v>
      </c>
      <c r="R11" s="61">
        <v>9.9000000000000005E-2</v>
      </c>
      <c r="S11" s="59">
        <f t="shared" si="1"/>
        <v>0.99</v>
      </c>
      <c r="T11" s="60"/>
    </row>
    <row r="12" spans="1:20" ht="15.75" thickBot="1">
      <c r="A12" s="152">
        <v>10</v>
      </c>
      <c r="B12" s="125"/>
      <c r="C12" s="18" t="s">
        <v>81</v>
      </c>
      <c r="D12" s="19" t="s">
        <v>82</v>
      </c>
      <c r="E12" s="19" t="s">
        <v>83</v>
      </c>
      <c r="F12" s="19" t="s">
        <v>84</v>
      </c>
      <c r="G12" s="19" t="s">
        <v>85</v>
      </c>
      <c r="H12" s="25" t="s">
        <v>86</v>
      </c>
      <c r="I12" s="25" t="s">
        <v>87</v>
      </c>
      <c r="J12" s="138" t="s">
        <v>73</v>
      </c>
      <c r="K12" s="64">
        <v>1</v>
      </c>
      <c r="L12" s="64">
        <f t="shared" si="2"/>
        <v>5</v>
      </c>
      <c r="M12" s="112">
        <v>10</v>
      </c>
      <c r="N12" s="112">
        <v>10</v>
      </c>
      <c r="O12" s="65" t="s">
        <v>30</v>
      </c>
      <c r="P12" s="66">
        <v>8.1699999999999995E-2</v>
      </c>
      <c r="Q12" s="67">
        <f t="shared" si="0"/>
        <v>0.81699999999999995</v>
      </c>
      <c r="R12" s="66">
        <v>8.1699999999999995E-2</v>
      </c>
      <c r="S12" s="67">
        <f t="shared" si="1"/>
        <v>0.81699999999999995</v>
      </c>
      <c r="T12" s="68"/>
    </row>
    <row r="13" spans="1:20" ht="15.75" thickBot="1">
      <c r="A13" s="152">
        <v>11</v>
      </c>
      <c r="B13" s="127" t="s">
        <v>88</v>
      </c>
      <c r="C13" s="9" t="s">
        <v>89</v>
      </c>
      <c r="D13" s="10" t="s">
        <v>90</v>
      </c>
      <c r="E13" s="10" t="s">
        <v>91</v>
      </c>
      <c r="F13" s="115" t="s">
        <v>92</v>
      </c>
      <c r="G13" s="10" t="s">
        <v>93</v>
      </c>
      <c r="H13" s="11" t="s">
        <v>228</v>
      </c>
      <c r="I13" s="26" t="s">
        <v>229</v>
      </c>
      <c r="J13" s="27" t="s">
        <v>73</v>
      </c>
      <c r="K13" s="50">
        <v>1</v>
      </c>
      <c r="L13" s="50">
        <f t="shared" si="2"/>
        <v>5</v>
      </c>
      <c r="M13" s="108">
        <v>5</v>
      </c>
      <c r="N13" s="108">
        <v>10</v>
      </c>
      <c r="O13" s="52" t="s">
        <v>30</v>
      </c>
      <c r="P13" s="75">
        <v>0.10630000000000001</v>
      </c>
      <c r="Q13" s="54">
        <f t="shared" si="0"/>
        <v>0.53150000000000008</v>
      </c>
      <c r="R13" s="75">
        <v>0.10630000000000001</v>
      </c>
      <c r="S13" s="54">
        <f t="shared" si="1"/>
        <v>1.0630000000000002</v>
      </c>
      <c r="T13" s="55"/>
    </row>
    <row r="14" spans="1:20" ht="24.75" customHeight="1" thickBot="1">
      <c r="A14" s="152">
        <v>12</v>
      </c>
      <c r="B14" s="128"/>
      <c r="C14" s="28" t="s">
        <v>94</v>
      </c>
      <c r="D14" s="30" t="s">
        <v>95</v>
      </c>
      <c r="E14" s="19" t="s">
        <v>91</v>
      </c>
      <c r="F14" s="30" t="s">
        <v>96</v>
      </c>
      <c r="G14" s="30" t="s">
        <v>58</v>
      </c>
      <c r="H14" s="137" t="s">
        <v>27</v>
      </c>
      <c r="I14" s="19" t="s">
        <v>226</v>
      </c>
      <c r="J14" s="138" t="s">
        <v>73</v>
      </c>
      <c r="K14" s="76">
        <v>4</v>
      </c>
      <c r="L14" s="64">
        <f t="shared" si="2"/>
        <v>20</v>
      </c>
      <c r="M14" s="112">
        <v>10</v>
      </c>
      <c r="N14" s="112">
        <v>22</v>
      </c>
      <c r="O14" s="77" t="s">
        <v>97</v>
      </c>
      <c r="P14" s="113">
        <v>2.4029999999999999E-2</v>
      </c>
      <c r="Q14" s="67">
        <f t="shared" si="0"/>
        <v>0.24029999999999999</v>
      </c>
      <c r="R14" s="113">
        <v>2.4029999999999999E-2</v>
      </c>
      <c r="S14" s="67">
        <f t="shared" si="1"/>
        <v>0.52866000000000002</v>
      </c>
      <c r="T14" s="68"/>
    </row>
    <row r="15" spans="1:20" ht="16.5" thickBot="1">
      <c r="A15" s="152">
        <v>13</v>
      </c>
      <c r="B15" s="150" t="s">
        <v>98</v>
      </c>
      <c r="C15" s="149" t="s">
        <v>99</v>
      </c>
      <c r="D15" s="139" t="s">
        <v>100</v>
      </c>
      <c r="E15" s="139" t="s">
        <v>101</v>
      </c>
      <c r="F15" s="139" t="s">
        <v>102</v>
      </c>
      <c r="G15" s="139" t="s">
        <v>103</v>
      </c>
      <c r="H15" s="140" t="s">
        <v>27</v>
      </c>
      <c r="I15" s="141" t="s">
        <v>104</v>
      </c>
      <c r="J15" s="142" t="s">
        <v>73</v>
      </c>
      <c r="K15" s="143">
        <v>2</v>
      </c>
      <c r="L15" s="143">
        <f t="shared" si="2"/>
        <v>10</v>
      </c>
      <c r="M15" s="144">
        <v>20</v>
      </c>
      <c r="N15" s="144">
        <v>20</v>
      </c>
      <c r="O15" s="145" t="s">
        <v>30</v>
      </c>
      <c r="P15" s="146">
        <v>5.0700000000000002E-2</v>
      </c>
      <c r="Q15" s="147">
        <f t="shared" si="0"/>
        <v>1.014</v>
      </c>
      <c r="R15" s="146">
        <v>5.0700000000000002E-2</v>
      </c>
      <c r="S15" s="147">
        <f t="shared" si="1"/>
        <v>1.014</v>
      </c>
      <c r="T15" s="151"/>
    </row>
    <row r="16" spans="1:20" ht="51.75" thickBot="1">
      <c r="A16" s="152">
        <v>14</v>
      </c>
      <c r="B16" s="126" t="s">
        <v>105</v>
      </c>
      <c r="C16" s="31" t="s">
        <v>106</v>
      </c>
      <c r="D16" s="32" t="s">
        <v>107</v>
      </c>
      <c r="E16" s="32" t="s">
        <v>108</v>
      </c>
      <c r="F16" s="32" t="s">
        <v>109</v>
      </c>
      <c r="G16" s="32" t="s">
        <v>52</v>
      </c>
      <c r="H16" s="11" t="s">
        <v>27</v>
      </c>
      <c r="I16" s="33" t="s">
        <v>110</v>
      </c>
      <c r="J16" s="32" t="s">
        <v>111</v>
      </c>
      <c r="K16" s="78">
        <v>40</v>
      </c>
      <c r="L16" s="50">
        <f>K16*5</f>
        <v>200</v>
      </c>
      <c r="M16" s="108">
        <v>100</v>
      </c>
      <c r="N16" s="108">
        <v>300</v>
      </c>
      <c r="O16" s="52" t="s">
        <v>30</v>
      </c>
      <c r="P16" s="75">
        <v>8.9999999999999998E-4</v>
      </c>
      <c r="Q16" s="54">
        <f t="shared" si="0"/>
        <v>0.09</v>
      </c>
      <c r="R16" s="75">
        <v>8.9999999999999998E-4</v>
      </c>
      <c r="S16" s="54">
        <f t="shared" si="1"/>
        <v>0.27</v>
      </c>
      <c r="T16" s="55"/>
    </row>
    <row r="17" spans="1:20" ht="15.75" thickBot="1">
      <c r="A17" s="152">
        <v>15</v>
      </c>
      <c r="B17" s="124"/>
      <c r="C17" s="13" t="s">
        <v>112</v>
      </c>
      <c r="D17" s="49" t="s">
        <v>113</v>
      </c>
      <c r="E17" s="8" t="s">
        <v>114</v>
      </c>
      <c r="F17" s="8" t="s">
        <v>115</v>
      </c>
      <c r="G17" s="8" t="s">
        <v>52</v>
      </c>
      <c r="H17" s="133" t="s">
        <v>27</v>
      </c>
      <c r="I17" s="15" t="s">
        <v>116</v>
      </c>
      <c r="J17" s="8" t="s">
        <v>117</v>
      </c>
      <c r="K17" s="56">
        <v>7</v>
      </c>
      <c r="L17" s="56">
        <f t="shared" ref="L17:L32" si="3">K17*5</f>
        <v>35</v>
      </c>
      <c r="M17" s="110">
        <v>100</v>
      </c>
      <c r="N17" s="110">
        <v>100</v>
      </c>
      <c r="O17" s="57" t="s">
        <v>30</v>
      </c>
      <c r="P17" s="58">
        <v>1.2999999999999999E-3</v>
      </c>
      <c r="Q17" s="59">
        <f t="shared" si="0"/>
        <v>0.13</v>
      </c>
      <c r="R17" s="58">
        <v>1.2999999999999999E-3</v>
      </c>
      <c r="S17" s="59">
        <f t="shared" si="1"/>
        <v>0.13</v>
      </c>
      <c r="T17" s="60"/>
    </row>
    <row r="18" spans="1:20" ht="15.75" thickBot="1">
      <c r="A18" s="152">
        <v>16</v>
      </c>
      <c r="B18" s="124"/>
      <c r="C18" s="13" t="s">
        <v>118</v>
      </c>
      <c r="D18" s="8" t="s">
        <v>119</v>
      </c>
      <c r="E18" s="8" t="s">
        <v>108</v>
      </c>
      <c r="F18" s="8" t="s">
        <v>120</v>
      </c>
      <c r="G18" s="114" t="s">
        <v>121</v>
      </c>
      <c r="H18" s="15" t="s">
        <v>122</v>
      </c>
      <c r="I18" s="15" t="s">
        <v>123</v>
      </c>
      <c r="J18" s="8" t="s">
        <v>124</v>
      </c>
      <c r="K18" s="56">
        <v>1</v>
      </c>
      <c r="L18" s="56">
        <f t="shared" si="3"/>
        <v>5</v>
      </c>
      <c r="M18" s="110">
        <v>100</v>
      </c>
      <c r="N18" s="110">
        <v>100</v>
      </c>
      <c r="O18" s="57" t="s">
        <v>30</v>
      </c>
      <c r="P18" s="61">
        <v>2E-3</v>
      </c>
      <c r="Q18" s="59">
        <f t="shared" si="0"/>
        <v>0.2</v>
      </c>
      <c r="R18" s="61">
        <v>2E-3</v>
      </c>
      <c r="S18" s="59">
        <f t="shared" si="1"/>
        <v>0.2</v>
      </c>
      <c r="T18" s="60"/>
    </row>
    <row r="19" spans="1:20" ht="15.75" thickBot="1">
      <c r="A19" s="152">
        <v>17</v>
      </c>
      <c r="B19" s="124"/>
      <c r="C19" s="13" t="s">
        <v>125</v>
      </c>
      <c r="D19" s="8" t="s">
        <v>126</v>
      </c>
      <c r="E19" s="8" t="s">
        <v>114</v>
      </c>
      <c r="F19" s="8" t="s">
        <v>127</v>
      </c>
      <c r="G19" s="8" t="s">
        <v>52</v>
      </c>
      <c r="H19" s="133" t="s">
        <v>27</v>
      </c>
      <c r="I19" s="15" t="s">
        <v>128</v>
      </c>
      <c r="J19" s="8" t="s">
        <v>129</v>
      </c>
      <c r="K19" s="56">
        <v>2</v>
      </c>
      <c r="L19" s="56">
        <f t="shared" si="3"/>
        <v>10</v>
      </c>
      <c r="M19" s="110">
        <v>100</v>
      </c>
      <c r="N19" s="110">
        <v>100</v>
      </c>
      <c r="O19" s="57" t="s">
        <v>30</v>
      </c>
      <c r="P19" s="61">
        <v>1.4E-3</v>
      </c>
      <c r="Q19" s="59">
        <f t="shared" si="0"/>
        <v>0.13999999999999999</v>
      </c>
      <c r="R19" s="61">
        <v>1.4E-3</v>
      </c>
      <c r="S19" s="59">
        <f t="shared" si="1"/>
        <v>0.13999999999999999</v>
      </c>
      <c r="T19" s="60"/>
    </row>
    <row r="20" spans="1:20" ht="15.75" thickBot="1">
      <c r="A20" s="152">
        <v>18</v>
      </c>
      <c r="B20" s="124"/>
      <c r="C20" s="13" t="s">
        <v>130</v>
      </c>
      <c r="D20" s="8" t="s">
        <v>131</v>
      </c>
      <c r="E20" s="8" t="s">
        <v>114</v>
      </c>
      <c r="F20" s="8" t="s">
        <v>132</v>
      </c>
      <c r="G20" s="8" t="s">
        <v>52</v>
      </c>
      <c r="H20" s="133" t="s">
        <v>27</v>
      </c>
      <c r="I20" s="15" t="s">
        <v>133</v>
      </c>
      <c r="J20" s="8" t="s">
        <v>134</v>
      </c>
      <c r="K20" s="56">
        <v>1</v>
      </c>
      <c r="L20" s="56">
        <f t="shared" si="3"/>
        <v>5</v>
      </c>
      <c r="M20" s="110">
        <v>100</v>
      </c>
      <c r="N20" s="110">
        <v>100</v>
      </c>
      <c r="O20" s="57" t="s">
        <v>30</v>
      </c>
      <c r="P20" s="61">
        <v>1.4E-3</v>
      </c>
      <c r="Q20" s="59">
        <f t="shared" si="0"/>
        <v>0.13999999999999999</v>
      </c>
      <c r="R20" s="61">
        <v>1.4E-3</v>
      </c>
      <c r="S20" s="59">
        <f t="shared" si="1"/>
        <v>0.13999999999999999</v>
      </c>
      <c r="T20" s="60"/>
    </row>
    <row r="21" spans="1:20" ht="15.75" thickBot="1">
      <c r="A21" s="152">
        <v>19</v>
      </c>
      <c r="B21" s="125"/>
      <c r="C21" s="18" t="s">
        <v>135</v>
      </c>
      <c r="D21" s="19" t="s">
        <v>136</v>
      </c>
      <c r="E21" s="19" t="s">
        <v>114</v>
      </c>
      <c r="F21" s="19" t="s">
        <v>137</v>
      </c>
      <c r="G21" s="19" t="s">
        <v>52</v>
      </c>
      <c r="H21" s="137" t="s">
        <v>27</v>
      </c>
      <c r="I21" s="29" t="s">
        <v>138</v>
      </c>
      <c r="J21" s="19" t="s">
        <v>139</v>
      </c>
      <c r="K21" s="64">
        <v>2</v>
      </c>
      <c r="L21" s="64">
        <f t="shared" si="3"/>
        <v>10</v>
      </c>
      <c r="M21" s="112">
        <v>50</v>
      </c>
      <c r="N21" s="112">
        <v>50</v>
      </c>
      <c r="O21" s="65" t="s">
        <v>30</v>
      </c>
      <c r="P21" s="66">
        <v>4.7000000000000002E-3</v>
      </c>
      <c r="Q21" s="67">
        <f t="shared" si="0"/>
        <v>0.23500000000000001</v>
      </c>
      <c r="R21" s="66">
        <v>4.7000000000000002E-3</v>
      </c>
      <c r="S21" s="67">
        <f t="shared" si="1"/>
        <v>0.23500000000000001</v>
      </c>
      <c r="T21" s="68"/>
    </row>
    <row r="22" spans="1:20" ht="16.5" thickBot="1">
      <c r="A22" s="152">
        <v>20</v>
      </c>
      <c r="B22" s="150" t="s">
        <v>140</v>
      </c>
      <c r="C22" s="149" t="s">
        <v>141</v>
      </c>
      <c r="D22" s="139" t="s">
        <v>142</v>
      </c>
      <c r="E22" s="139" t="s">
        <v>143</v>
      </c>
      <c r="F22" s="139" t="s">
        <v>143</v>
      </c>
      <c r="G22" s="139" t="s">
        <v>144</v>
      </c>
      <c r="H22" s="140" t="s">
        <v>27</v>
      </c>
      <c r="I22" s="141" t="s">
        <v>145</v>
      </c>
      <c r="J22" s="139" t="s">
        <v>73</v>
      </c>
      <c r="K22" s="143">
        <v>1</v>
      </c>
      <c r="L22" s="143">
        <f t="shared" si="3"/>
        <v>5</v>
      </c>
      <c r="M22" s="144">
        <v>3</v>
      </c>
      <c r="N22" s="144">
        <v>7</v>
      </c>
      <c r="O22" s="145" t="s">
        <v>30</v>
      </c>
      <c r="P22" s="146">
        <v>0.82230000000000003</v>
      </c>
      <c r="Q22" s="147">
        <f t="shared" si="0"/>
        <v>2.4668999999999999</v>
      </c>
      <c r="R22" s="146">
        <v>0.82230000000000003</v>
      </c>
      <c r="S22" s="147">
        <f t="shared" si="1"/>
        <v>5.7561</v>
      </c>
      <c r="T22" s="151"/>
    </row>
    <row r="23" spans="1:20" ht="15.75" thickBot="1">
      <c r="A23" s="152">
        <v>21</v>
      </c>
      <c r="B23" s="126" t="s">
        <v>146</v>
      </c>
      <c r="C23" s="9" t="s">
        <v>147</v>
      </c>
      <c r="D23" s="10" t="s">
        <v>148</v>
      </c>
      <c r="E23" s="10" t="s">
        <v>213</v>
      </c>
      <c r="F23" s="10" t="s">
        <v>149</v>
      </c>
      <c r="G23" s="10" t="s">
        <v>150</v>
      </c>
      <c r="H23" s="11" t="s">
        <v>27</v>
      </c>
      <c r="I23" s="26" t="s">
        <v>151</v>
      </c>
      <c r="J23" s="10" t="s">
        <v>152</v>
      </c>
      <c r="K23" s="50">
        <v>1</v>
      </c>
      <c r="L23" s="50">
        <f t="shared" si="3"/>
        <v>5</v>
      </c>
      <c r="M23" s="108">
        <v>3</v>
      </c>
      <c r="N23" s="108">
        <v>7</v>
      </c>
      <c r="O23" s="52" t="s">
        <v>30</v>
      </c>
      <c r="P23" s="75">
        <v>0.8458</v>
      </c>
      <c r="Q23" s="54">
        <f t="shared" si="0"/>
        <v>2.5373999999999999</v>
      </c>
      <c r="R23" s="75">
        <v>0.8458</v>
      </c>
      <c r="S23" s="54">
        <f t="shared" si="1"/>
        <v>5.9206000000000003</v>
      </c>
      <c r="T23" s="55" t="s">
        <v>153</v>
      </c>
    </row>
    <row r="24" spans="1:20" ht="15.75" thickBot="1">
      <c r="A24" s="152">
        <v>22</v>
      </c>
      <c r="B24" s="125"/>
      <c r="C24" s="18" t="s">
        <v>154</v>
      </c>
      <c r="D24" s="19" t="s">
        <v>155</v>
      </c>
      <c r="E24" s="19" t="s">
        <v>213</v>
      </c>
      <c r="F24" s="19" t="s">
        <v>156</v>
      </c>
      <c r="G24" s="19" t="s">
        <v>157</v>
      </c>
      <c r="H24" s="137" t="s">
        <v>27</v>
      </c>
      <c r="I24" s="137" t="s">
        <v>27</v>
      </c>
      <c r="J24" s="138" t="s">
        <v>73</v>
      </c>
      <c r="K24" s="64">
        <v>1</v>
      </c>
      <c r="L24" s="64">
        <f t="shared" si="3"/>
        <v>5</v>
      </c>
      <c r="M24" s="112">
        <v>3</v>
      </c>
      <c r="N24" s="112">
        <v>7</v>
      </c>
      <c r="O24" s="111" t="s">
        <v>227</v>
      </c>
      <c r="P24" s="66">
        <v>0.73</v>
      </c>
      <c r="Q24" s="67">
        <f t="shared" si="0"/>
        <v>2.19</v>
      </c>
      <c r="R24" s="66">
        <v>0.73</v>
      </c>
      <c r="S24" s="67">
        <f t="shared" si="1"/>
        <v>5.1099999999999994</v>
      </c>
      <c r="T24" s="68"/>
    </row>
    <row r="25" spans="1:20" ht="15.75" thickBot="1">
      <c r="A25" s="152">
        <v>23</v>
      </c>
      <c r="B25" s="126" t="s">
        <v>158</v>
      </c>
      <c r="C25" s="34" t="s">
        <v>159</v>
      </c>
      <c r="D25" s="35" t="s">
        <v>160</v>
      </c>
      <c r="E25" s="35" t="s">
        <v>161</v>
      </c>
      <c r="F25" s="35" t="s">
        <v>162</v>
      </c>
      <c r="G25" s="35" t="s">
        <v>163</v>
      </c>
      <c r="H25" s="36" t="s">
        <v>27</v>
      </c>
      <c r="I25" s="36" t="s">
        <v>27</v>
      </c>
      <c r="J25" s="37" t="s">
        <v>73</v>
      </c>
      <c r="K25" s="79">
        <v>1</v>
      </c>
      <c r="L25" s="80">
        <f t="shared" si="3"/>
        <v>5</v>
      </c>
      <c r="M25" s="81"/>
      <c r="N25" s="82"/>
      <c r="O25" s="83"/>
      <c r="P25" s="84"/>
      <c r="Q25" s="85">
        <f t="shared" si="0"/>
        <v>0</v>
      </c>
      <c r="R25" s="84"/>
      <c r="S25" s="85">
        <f t="shared" si="1"/>
        <v>0</v>
      </c>
      <c r="T25" s="86" t="s">
        <v>164</v>
      </c>
    </row>
    <row r="26" spans="1:20" ht="15.75" thickBot="1">
      <c r="A26" s="152">
        <v>24</v>
      </c>
      <c r="B26" s="124"/>
      <c r="C26" s="38" t="s">
        <v>165</v>
      </c>
      <c r="D26" s="39" t="s">
        <v>166</v>
      </c>
      <c r="E26" s="39" t="s">
        <v>167</v>
      </c>
      <c r="F26" s="39" t="s">
        <v>168</v>
      </c>
      <c r="G26" s="39" t="s">
        <v>169</v>
      </c>
      <c r="H26" s="135" t="s">
        <v>27</v>
      </c>
      <c r="I26" s="135" t="s">
        <v>27</v>
      </c>
      <c r="J26" s="136" t="s">
        <v>73</v>
      </c>
      <c r="K26" s="87">
        <v>1</v>
      </c>
      <c r="L26" s="88">
        <f t="shared" si="3"/>
        <v>5</v>
      </c>
      <c r="M26" s="89"/>
      <c r="N26" s="90"/>
      <c r="O26" s="91"/>
      <c r="P26" s="92"/>
      <c r="Q26" s="92">
        <f t="shared" si="0"/>
        <v>0</v>
      </c>
      <c r="R26" s="92"/>
      <c r="S26" s="92">
        <f t="shared" si="1"/>
        <v>0</v>
      </c>
      <c r="T26" s="93" t="s">
        <v>164</v>
      </c>
    </row>
    <row r="27" spans="1:20" ht="15.75" thickBot="1">
      <c r="A27" s="152">
        <v>25</v>
      </c>
      <c r="B27" s="124"/>
      <c r="C27" s="13" t="s">
        <v>170</v>
      </c>
      <c r="D27" s="8" t="s">
        <v>171</v>
      </c>
      <c r="E27" s="8" t="s">
        <v>172</v>
      </c>
      <c r="F27" s="8" t="s">
        <v>173</v>
      </c>
      <c r="G27" s="8" t="s">
        <v>174</v>
      </c>
      <c r="H27" s="133" t="s">
        <v>27</v>
      </c>
      <c r="I27" s="133" t="s">
        <v>27</v>
      </c>
      <c r="J27" s="134" t="s">
        <v>73</v>
      </c>
      <c r="K27" s="56">
        <v>1</v>
      </c>
      <c r="L27" s="56">
        <f t="shared" si="3"/>
        <v>5</v>
      </c>
      <c r="M27" s="110">
        <v>1</v>
      </c>
      <c r="N27" s="110">
        <v>6</v>
      </c>
      <c r="O27" s="107" t="s">
        <v>227</v>
      </c>
      <c r="P27" s="58">
        <v>7.6</v>
      </c>
      <c r="Q27" s="59">
        <f t="shared" si="0"/>
        <v>7.6</v>
      </c>
      <c r="R27" s="58">
        <v>7.6</v>
      </c>
      <c r="S27" s="59">
        <f t="shared" si="1"/>
        <v>45.599999999999994</v>
      </c>
      <c r="T27" s="60" t="s">
        <v>175</v>
      </c>
    </row>
    <row r="28" spans="1:20" ht="15.75" thickBot="1">
      <c r="A28" s="152">
        <v>26</v>
      </c>
      <c r="B28" s="124"/>
      <c r="C28" s="13" t="s">
        <v>176</v>
      </c>
      <c r="D28" s="8" t="s">
        <v>177</v>
      </c>
      <c r="E28" s="8" t="s">
        <v>178</v>
      </c>
      <c r="F28" s="8" t="s">
        <v>179</v>
      </c>
      <c r="G28" s="8" t="s">
        <v>180</v>
      </c>
      <c r="H28" s="133" t="s">
        <v>27</v>
      </c>
      <c r="I28" s="133" t="s">
        <v>27</v>
      </c>
      <c r="J28" s="134" t="s">
        <v>73</v>
      </c>
      <c r="K28" s="56">
        <v>1</v>
      </c>
      <c r="L28" s="56">
        <f t="shared" si="3"/>
        <v>5</v>
      </c>
      <c r="M28" s="110">
        <v>2</v>
      </c>
      <c r="N28" s="110">
        <v>6</v>
      </c>
      <c r="O28" s="57" t="s">
        <v>80</v>
      </c>
      <c r="P28" s="94">
        <v>11</v>
      </c>
      <c r="Q28" s="59">
        <f t="shared" si="0"/>
        <v>22</v>
      </c>
      <c r="R28" s="94">
        <v>11</v>
      </c>
      <c r="S28" s="59">
        <f t="shared" si="1"/>
        <v>66</v>
      </c>
      <c r="T28" s="60"/>
    </row>
    <row r="29" spans="1:20" ht="15.75" thickBot="1">
      <c r="A29" s="152">
        <v>27</v>
      </c>
      <c r="B29" s="124"/>
      <c r="C29" s="13" t="s">
        <v>181</v>
      </c>
      <c r="D29" s="8" t="s">
        <v>182</v>
      </c>
      <c r="E29" s="8" t="s">
        <v>183</v>
      </c>
      <c r="F29" s="8" t="s">
        <v>184</v>
      </c>
      <c r="G29" s="8" t="s">
        <v>169</v>
      </c>
      <c r="H29" s="133" t="s">
        <v>27</v>
      </c>
      <c r="I29" s="15" t="s">
        <v>185</v>
      </c>
      <c r="J29" s="134" t="s">
        <v>73</v>
      </c>
      <c r="K29" s="56">
        <v>1</v>
      </c>
      <c r="L29" s="56">
        <f t="shared" si="3"/>
        <v>5</v>
      </c>
      <c r="M29" s="110">
        <v>2</v>
      </c>
      <c r="N29" s="110">
        <v>6</v>
      </c>
      <c r="O29" s="57" t="s">
        <v>30</v>
      </c>
      <c r="P29" s="58">
        <v>0.27710000000000001</v>
      </c>
      <c r="Q29" s="59">
        <f t="shared" si="0"/>
        <v>0.55420000000000003</v>
      </c>
      <c r="R29" s="58">
        <v>0.27710000000000001</v>
      </c>
      <c r="S29" s="59">
        <f t="shared" si="1"/>
        <v>1.6626000000000001</v>
      </c>
      <c r="T29" s="60"/>
    </row>
    <row r="30" spans="1:20" ht="15.75" thickBot="1">
      <c r="A30" s="152">
        <v>28</v>
      </c>
      <c r="B30" s="124"/>
      <c r="C30" s="116" t="s">
        <v>186</v>
      </c>
      <c r="D30" s="117" t="s">
        <v>187</v>
      </c>
      <c r="E30" s="117" t="s">
        <v>188</v>
      </c>
      <c r="F30" s="117" t="s">
        <v>189</v>
      </c>
      <c r="G30" s="117" t="s">
        <v>190</v>
      </c>
      <c r="H30" s="136" t="s">
        <v>27</v>
      </c>
      <c r="I30" s="136" t="s">
        <v>27</v>
      </c>
      <c r="J30" s="136" t="s">
        <v>73</v>
      </c>
      <c r="K30" s="88">
        <v>1</v>
      </c>
      <c r="L30" s="88">
        <f t="shared" si="3"/>
        <v>5</v>
      </c>
      <c r="M30" s="90"/>
      <c r="N30" s="90"/>
      <c r="O30" s="118"/>
      <c r="P30" s="119"/>
      <c r="Q30" s="119">
        <f t="shared" si="0"/>
        <v>0</v>
      </c>
      <c r="R30" s="119"/>
      <c r="S30" s="119">
        <f t="shared" si="1"/>
        <v>0</v>
      </c>
      <c r="T30" s="93" t="s">
        <v>164</v>
      </c>
    </row>
    <row r="31" spans="1:20" ht="15.75" thickBot="1">
      <c r="A31" s="152">
        <v>29</v>
      </c>
      <c r="B31" s="125"/>
      <c r="C31" s="18" t="s">
        <v>191</v>
      </c>
      <c r="D31" s="19" t="s">
        <v>192</v>
      </c>
      <c r="E31" s="19" t="s">
        <v>193</v>
      </c>
      <c r="F31" s="19" t="s">
        <v>194</v>
      </c>
      <c r="G31" s="19" t="s">
        <v>79</v>
      </c>
      <c r="H31" s="137" t="s">
        <v>27</v>
      </c>
      <c r="I31" s="20" t="s">
        <v>195</v>
      </c>
      <c r="J31" s="138" t="s">
        <v>73</v>
      </c>
      <c r="K31" s="64">
        <v>1</v>
      </c>
      <c r="L31" s="64">
        <f t="shared" si="3"/>
        <v>5</v>
      </c>
      <c r="M31" s="112">
        <v>2</v>
      </c>
      <c r="N31" s="112">
        <v>7</v>
      </c>
      <c r="O31" s="77" t="s">
        <v>30</v>
      </c>
      <c r="P31" s="66">
        <v>0.96120000000000005</v>
      </c>
      <c r="Q31" s="67">
        <f t="shared" si="0"/>
        <v>1.9224000000000001</v>
      </c>
      <c r="R31" s="66">
        <v>0.96120000000000005</v>
      </c>
      <c r="S31" s="67">
        <f t="shared" si="1"/>
        <v>6.7284000000000006</v>
      </c>
      <c r="T31" s="68"/>
    </row>
    <row r="32" spans="1:20" ht="15.75" thickBot="1">
      <c r="A32" s="152">
        <v>30</v>
      </c>
      <c r="B32" s="126" t="s">
        <v>196</v>
      </c>
      <c r="C32" s="31" t="s">
        <v>197</v>
      </c>
      <c r="D32" s="32" t="s">
        <v>198</v>
      </c>
      <c r="E32" s="26" t="s">
        <v>213</v>
      </c>
      <c r="F32" s="32" t="s">
        <v>199</v>
      </c>
      <c r="G32" s="32" t="s">
        <v>200</v>
      </c>
      <c r="H32" s="11" t="s">
        <v>27</v>
      </c>
      <c r="I32" s="40" t="s">
        <v>201</v>
      </c>
      <c r="J32" s="27" t="s">
        <v>73</v>
      </c>
      <c r="K32" s="78">
        <v>1</v>
      </c>
      <c r="L32" s="50">
        <f t="shared" si="3"/>
        <v>5</v>
      </c>
      <c r="M32" s="51">
        <v>2</v>
      </c>
      <c r="N32" s="51">
        <v>7</v>
      </c>
      <c r="O32" s="95" t="s">
        <v>30</v>
      </c>
      <c r="P32" s="75">
        <v>8.0299999999999996E-2</v>
      </c>
      <c r="Q32" s="54">
        <f t="shared" si="0"/>
        <v>0.16059999999999999</v>
      </c>
      <c r="R32" s="75">
        <v>8.0299999999999996E-2</v>
      </c>
      <c r="S32" s="54">
        <f t="shared" si="1"/>
        <v>0.56209999999999993</v>
      </c>
      <c r="T32" s="55"/>
    </row>
    <row r="33" spans="1:20" ht="15.75" thickBot="1">
      <c r="A33" s="152">
        <v>31</v>
      </c>
      <c r="B33" s="124"/>
      <c r="C33" s="41" t="s">
        <v>202</v>
      </c>
      <c r="D33" s="39" t="s">
        <v>203</v>
      </c>
      <c r="E33" s="42"/>
      <c r="F33" s="39" t="s">
        <v>204</v>
      </c>
      <c r="G33" s="39" t="s">
        <v>205</v>
      </c>
      <c r="H33" s="135" t="s">
        <v>27</v>
      </c>
      <c r="I33" s="135" t="s">
        <v>27</v>
      </c>
      <c r="J33" s="136" t="s">
        <v>73</v>
      </c>
      <c r="K33" s="87">
        <v>1</v>
      </c>
      <c r="L33" s="87"/>
      <c r="M33" s="89"/>
      <c r="N33" s="89"/>
      <c r="O33" s="91"/>
      <c r="P33" s="96"/>
      <c r="Q33" s="92">
        <f t="shared" si="0"/>
        <v>0</v>
      </c>
      <c r="R33" s="96"/>
      <c r="S33" s="92">
        <f t="shared" si="1"/>
        <v>0</v>
      </c>
      <c r="T33" s="93" t="s">
        <v>164</v>
      </c>
    </row>
    <row r="34" spans="1:20" ht="15.75" thickBot="1">
      <c r="A34" s="152">
        <v>32</v>
      </c>
      <c r="B34" s="124"/>
      <c r="C34" s="43" t="s">
        <v>206</v>
      </c>
      <c r="D34" s="44" t="s">
        <v>207</v>
      </c>
      <c r="E34" s="44" t="s">
        <v>208</v>
      </c>
      <c r="F34" s="44" t="s">
        <v>208</v>
      </c>
      <c r="G34" s="44" t="s">
        <v>209</v>
      </c>
      <c r="H34" s="133" t="s">
        <v>27</v>
      </c>
      <c r="I34" s="133" t="s">
        <v>27</v>
      </c>
      <c r="J34" s="134" t="s">
        <v>73</v>
      </c>
      <c r="K34" s="97">
        <v>1</v>
      </c>
      <c r="L34" s="97">
        <f>K34*5</f>
        <v>5</v>
      </c>
      <c r="M34" s="98">
        <v>3</v>
      </c>
      <c r="N34" s="98">
        <v>7</v>
      </c>
      <c r="O34" s="99" t="s">
        <v>210</v>
      </c>
      <c r="P34" s="59">
        <v>0.5</v>
      </c>
      <c r="Q34" s="59">
        <f t="shared" si="0"/>
        <v>1.5</v>
      </c>
      <c r="R34" s="59">
        <v>0.5</v>
      </c>
      <c r="S34" s="59">
        <f t="shared" si="1"/>
        <v>3.5</v>
      </c>
      <c r="T34" s="100"/>
    </row>
    <row r="35" spans="1:20" ht="15.75" thickBot="1">
      <c r="A35" s="152">
        <v>33</v>
      </c>
      <c r="B35" s="125"/>
      <c r="C35" s="45" t="s">
        <v>211</v>
      </c>
      <c r="D35" s="148" t="s">
        <v>212</v>
      </c>
      <c r="E35" s="46" t="s">
        <v>213</v>
      </c>
      <c r="F35" s="46" t="s">
        <v>214</v>
      </c>
      <c r="G35" s="47" t="s">
        <v>215</v>
      </c>
      <c r="H35" s="47" t="s">
        <v>215</v>
      </c>
      <c r="I35" s="48" t="s">
        <v>215</v>
      </c>
      <c r="J35" s="47" t="s">
        <v>73</v>
      </c>
      <c r="K35" s="101">
        <v>8</v>
      </c>
      <c r="L35" s="102">
        <f>K35*5</f>
        <v>40</v>
      </c>
      <c r="M35" s="103" t="s">
        <v>215</v>
      </c>
      <c r="N35" s="104" t="s">
        <v>215</v>
      </c>
      <c r="O35" s="103" t="s">
        <v>215</v>
      </c>
      <c r="P35" s="104" t="s">
        <v>215</v>
      </c>
      <c r="Q35" s="103" t="s">
        <v>215</v>
      </c>
      <c r="R35" s="104" t="s">
        <v>215</v>
      </c>
      <c r="S35" s="103" t="s">
        <v>215</v>
      </c>
      <c r="T35" s="105" t="s">
        <v>216</v>
      </c>
    </row>
    <row r="36" spans="1:20" ht="19.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6" t="s">
        <v>217</v>
      </c>
      <c r="L36" s="6"/>
      <c r="M36" s="6"/>
      <c r="N36" s="6"/>
      <c r="O36" s="6"/>
      <c r="P36" s="6"/>
      <c r="Q36" s="1"/>
      <c r="R36" s="1"/>
      <c r="S36" s="3">
        <f>SUM(S3:S35)</f>
        <v>151.06845999999999</v>
      </c>
      <c r="T36" s="1"/>
    </row>
    <row r="37" spans="1:20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7" t="s">
        <v>218</v>
      </c>
      <c r="L37" s="7"/>
      <c r="M37" s="7"/>
      <c r="N37" s="7"/>
      <c r="O37" s="7"/>
      <c r="P37" s="7"/>
      <c r="Q37" s="4">
        <f>SUM(Q3:Q36)</f>
        <v>48.399300000000004</v>
      </c>
      <c r="R37" s="1"/>
      <c r="S37" s="5">
        <f>S36/5</f>
        <v>30.213691999999998</v>
      </c>
      <c r="T37" s="1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10">
    <mergeCell ref="A1:T1"/>
    <mergeCell ref="K36:P36"/>
    <mergeCell ref="K37:P37"/>
    <mergeCell ref="B3:B9"/>
    <mergeCell ref="B10:B12"/>
    <mergeCell ref="B13:B14"/>
    <mergeCell ref="B16:B21"/>
    <mergeCell ref="B23:B24"/>
    <mergeCell ref="B25:B31"/>
    <mergeCell ref="B32:B35"/>
  </mergeCells>
  <conditionalFormatting sqref="Q3:Q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{D5B4D7A9-5956-41BD-A997-F2A9ACD7EB45}</x14:id>
        </ext>
      </extLst>
    </cfRule>
  </conditionalFormatting>
  <conditionalFormatting sqref="S3:S3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{67748986-D206-4A3F-AC13-14143E86B3AB}</x14:id>
        </ext>
      </extLst>
    </cfRule>
  </conditionalFormatting>
  <conditionalFormatting sqref="K3:L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6:S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{82FBF612-1900-4BA4-93C5-3BFEA49CDDF3}</x14:id>
        </ext>
      </extLst>
    </cfRule>
  </conditionalFormatting>
  <hyperlinks>
    <hyperlink ref="O3" r:id="rId1" xr:uid="{00000000-0004-0000-0000-000000000000}"/>
    <hyperlink ref="O4" r:id="rId2" xr:uid="{00000000-0004-0000-0000-000001000000}"/>
    <hyperlink ref="O5" r:id="rId3" xr:uid="{00000000-0004-0000-0000-000002000000}"/>
    <hyperlink ref="O8" r:id="rId4" xr:uid="{00000000-0004-0000-0000-000004000000}"/>
    <hyperlink ref="O12" r:id="rId5" xr:uid="{00000000-0004-0000-0000-000006000000}"/>
    <hyperlink ref="O13" r:id="rId6" xr:uid="{00000000-0004-0000-0000-000008000000}"/>
    <hyperlink ref="O15" r:id="rId7" xr:uid="{00000000-0004-0000-0000-000009000000}"/>
    <hyperlink ref="O17" r:id="rId8" xr:uid="{00000000-0004-0000-0000-00000A000000}"/>
    <hyperlink ref="O18" r:id="rId9" xr:uid="{00000000-0004-0000-0000-00000B000000}"/>
    <hyperlink ref="O19" r:id="rId10" xr:uid="{00000000-0004-0000-0000-00000C000000}"/>
    <hyperlink ref="O20" r:id="rId11" xr:uid="{00000000-0004-0000-0000-00000D000000}"/>
    <hyperlink ref="O21" r:id="rId12" xr:uid="{00000000-0004-0000-0000-00000E000000}"/>
    <hyperlink ref="O22" r:id="rId13" xr:uid="{00000000-0004-0000-0000-00000F000000}"/>
    <hyperlink ref="O23" r:id="rId14" xr:uid="{00000000-0004-0000-0000-000010000000}"/>
    <hyperlink ref="O29" r:id="rId15" xr:uid="{00000000-0004-0000-0000-000011000000}"/>
    <hyperlink ref="O28" r:id="rId16" xr:uid="{00000000-0004-0000-0000-000013000000}"/>
    <hyperlink ref="O16" r:id="rId17" xr:uid="{00000000-0004-0000-0000-000015000000}"/>
    <hyperlink ref="O7" r:id="rId18" xr:uid="{00000000-0004-0000-0000-000016000000}"/>
    <hyperlink ref="O14" r:id="rId19" xr:uid="{00000000-0004-0000-0000-000017000000}"/>
    <hyperlink ref="O31" r:id="rId20" xr:uid="{00000000-0004-0000-0000-000019000000}"/>
    <hyperlink ref="O32" r:id="rId21" xr:uid="{00000000-0004-0000-0000-00001A000000}"/>
    <hyperlink ref="O6" r:id="rId22" xr:uid="{8063891C-DF0E-4834-856E-F39EEA1E167D}"/>
    <hyperlink ref="O9" r:id="rId23" xr:uid="{9C9612D2-C88A-41A7-8FD4-08A80F130732}"/>
    <hyperlink ref="O11" r:id="rId24" xr:uid="{95D93024-AED5-474A-A44C-1977D53D1EBB}"/>
    <hyperlink ref="O24" r:id="rId25" xr:uid="{426A1C96-310D-4503-9657-A4FFE1141619}"/>
    <hyperlink ref="O27" r:id="rId26" xr:uid="{CF4B4C61-8EF1-4B30-8745-7950502015AE}"/>
  </hyperlinks>
  <printOptions horizontalCentered="1" verticalCentered="1"/>
  <pageMargins left="0.30555555555555602" right="0.30555555555555602" top="0.30555555555555602" bottom="0.30555555555555602" header="0" footer="0"/>
  <pageSetup scale="39" orientation="landscape" blackAndWhite="1"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B4D7A9-5956-41BD-A997-F2A9ACD7E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Q3:Q34</xm:sqref>
        </x14:conditionalFormatting>
        <x14:conditionalFormatting xmlns:xm="http://schemas.microsoft.com/office/excel/2006/main">
          <x14:cfRule type="dataBar" id="{67748986-D206-4A3F-AC13-14143E86B3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S3:S34</xm:sqref>
        </x14:conditionalFormatting>
        <x14:conditionalFormatting xmlns:xm="http://schemas.microsoft.com/office/excel/2006/main">
          <x14:cfRule type="dataBar" id="{82FBF612-1900-4BA4-93C5-3BFEA49CD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Q36:S37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2021-07-08T08:22:00Z</dcterms:created>
  <dcterms:modified xsi:type="dcterms:W3CDTF">2022-03-28T10:17:44Z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616CF7A3AEFB4B7890191AA9D25A8477</vt:lpwstr>
  </property>
  <property fmtid="{D5CDD505-2E9C-101B-9397-08002B2CF9AE}" pid="3" name="KSOProductBuildVer">
    <vt:lpwstr>1033-11.2.0.11029</vt:lpwstr>
  </property>
</Properties>
</file>