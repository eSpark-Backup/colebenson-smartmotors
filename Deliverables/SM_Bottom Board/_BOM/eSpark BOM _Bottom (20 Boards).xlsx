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4" i="1" l="1"/>
  <c r="Q43" i="1"/>
  <c r="Q42" i="1" l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<sst xmlns="http://schemas.openxmlformats.org/spreadsheetml/2006/main" count="366" uniqueCount="236">
  <si>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</si>
  <si>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</si>
  <si>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</si>
  <si>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</si>
  <si>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</si>
  <si>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</si>
  <si>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</si>
  <si>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</si>
  <si>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</si>
  <si>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</si>
  <si>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</si>
  <si>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</si>
  <si>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C2, C3, C4, C5, C6, C7, C8, C9, C10, C11, C15, C20, C32, C33, C34, C35, C36, C37, C50</t>
  </si>
  <si>
    <t>C12</t>
  </si>
  <si>
    <t>C13, C14</t>
  </si>
  <si>
    <t>C16, C17</t>
  </si>
  <si>
    <t>C18, C19</t>
  </si>
  <si>
    <t>C31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</si>
  <si>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</si>
  <si>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</si>
  <si>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</si>
  <si>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</si>
  <si>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</si>
  <si>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</si>
  <si>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</si>
  <si>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</si>
  <si>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</si>
  <si>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</si>
  <si>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</si>
  <si>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</si>
  <si>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</si>
  <si>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</si>
  <si>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</si>
  <si>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</si>
  <si>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</si>
  <si>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</si>
  <si>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</si>
  <si>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</si>
  <si>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</si>
  <si>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</si>
  <si>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</si>
  <si>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</si>
  <si>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</si>
  <si>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</si>
  <si>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</si>
  <si>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</si>
  <si>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</si>
  <si>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</si>
  <si>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</si>
  <si>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</si>
  <si>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CAP CER 10UF 25V X5R 0603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</si>
  <si>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</si>
  <si>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</si>
  <si>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</si>
  <si>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</si>
  <si>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</si>
  <si>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</si>
  <si>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</si>
  <si>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</si>
  <si>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</si>
  <si>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</si>
  <si>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</si>
  <si>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</si>
  <si>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</si>
  <si>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</si>
  <si>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</si>
  <si>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</si>
  <si>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</si>
  <si>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</si>
  <si>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</si>
  <si>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</si>
  <si>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</si>
  <si>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</si>
  <si>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</si>
  <si>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</si>
  <si>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</si>
  <si>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</si>
  <si>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</si>
  <si>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</si>
  <si>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</si>
  <si>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</si>
  <si>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</si>
  <si>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</si>
  <si>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</si>
  <si>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</si>
  <si>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</si>
  <si>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</si>
  <si>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</si>
  <si>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</si>
  <si>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</si>
  <si>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</si>
  <si>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</si>
  <si>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</si>
  <si>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</si>
  <si>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</si>
  <si>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</si>
  <si>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</si>
  <si>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</si>
  <si>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</si>
  <si>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</si>
  <si>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</si>
  <si>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</si>
  <si>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</si>
  <si>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</si>
  <si>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</si>
  <si>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</si>
  <si>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</si>
  <si>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CL10A106MA8NRNC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</si>
  <si>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</si>
  <si>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</si>
  <si>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</si>
  <si>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</si>
  <si>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</si>
  <si>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</si>
  <si>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</si>
  <si>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</si>
  <si>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</si>
  <si>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</si>
  <si>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</si>
  <si>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</si>
  <si>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</si>
  <si>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</si>
  <si>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</si>
  <si>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</si>
  <si>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</si>
  <si>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</si>
  <si>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</si>
  <si>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</si>
  <si>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</si>
  <si>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</si>
  <si>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</si>
  <si>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</si>
  <si>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</si>
  <si>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</si>
  <si>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</si>
  <si>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</si>
  <si>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</si>
  <si>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</si>
  <si>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</si>
  <si>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</si>
  <si>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</si>
  <si>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</si>
  <si>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</si>
  <si>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</si>
  <si>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</si>
  <si>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</si>
  <si>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</si>
  <si>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</si>
  <si>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</si>
  <si>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</si>
  <si>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</si>
  <si>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</si>
  <si>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</si>
  <si>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</si>
  <si>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10uF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</si>
  <si>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</si>
  <si>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</si>
  <si>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</si>
  <si>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</si>
  <si>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</si>
  <si>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</si>
  <si>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</si>
  <si>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</si>
  <si>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</si>
  <si>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</si>
  <si>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</si>
  <si>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</si>
  <si>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</si>
  <si>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</si>
  <si>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</si>
  <si>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</si>
  <si>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</si>
  <si>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</si>
  <si>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</si>
  <si>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</si>
  <si>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</si>
  <si>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</si>
  <si>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</si>
  <si>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</si>
  <si>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</si>
  <si>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</si>
  <si>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</si>
  <si>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</si>
  <si>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</si>
  <si>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</si>
  <si>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</si>
  <si>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</si>
  <si>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</si>
  <si>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</si>
  <si>
    <t>TAJA105K016RNJ</t>
  </si>
  <si>
    <t>C7174</t>
  </si>
  <si>
    <t>Low cost alternate. Design change needed due to different package size of capacitor</t>
  </si>
  <si>
    <t>C86017</t>
  </si>
  <si>
    <t>C113797</t>
  </si>
  <si>
    <t>UMK063CG100DTHF</t>
  </si>
  <si>
    <t>C2168858</t>
  </si>
  <si>
    <t>C96446</t>
  </si>
  <si>
    <t>PESD2CAN,215</t>
  </si>
  <si>
    <t>C75176</t>
  </si>
  <si>
    <t>Quantity changed from 2/board to 1/board due to 2xdiodes in single package. Design change required</t>
  </si>
  <si>
    <t>C82326</t>
  </si>
  <si>
    <t>Ferrite0603</t>
  </si>
  <si>
    <t>C307770</t>
  </si>
  <si>
    <t>Mouser</t>
  </si>
  <si>
    <t>C515365</t>
  </si>
  <si>
    <t>MHT136CGCT</t>
  </si>
  <si>
    <t>C401111</t>
  </si>
  <si>
    <t>Digikey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</si>
  <si>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</si>
  <si>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</si>
  <si>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</si>
  <si>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</si>
  <si>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</si>
  <si>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</si>
  <si>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</si>
  <si>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</si>
  <si>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</si>
  <si>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</si>
  <si>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</si>
  <si>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</si>
  <si>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STM32F407VET6</t>
  </si>
  <si>
    <t>C28730</t>
  </si>
  <si>
    <t>Design change required. Only symbol change. No PCB or Footprint will change</t>
  </si>
  <si>
    <t>SN65HVDA1040AQDRQ1</t>
  </si>
  <si>
    <t>C188675</t>
  </si>
  <si>
    <t>TLE5012BE1000</t>
  </si>
  <si>
    <t>C123083</t>
  </si>
  <si>
    <t>Design change required. Need approval from client first as this change will lead to firmware changes as well</t>
  </si>
  <si>
    <t>UTSource</t>
  </si>
  <si>
    <t>C100024</t>
  </si>
  <si>
    <t>C233772</t>
  </si>
  <si>
    <t>32.768KHz</t>
  </si>
  <si>
    <t>Total Cost</t>
  </si>
  <si>
    <t>Cost per Board</t>
  </si>
  <si>
    <t>Design change required.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</si>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</sst>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15" xfId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22" fillId="7" borderId="5" xfId="0" applyFont="1" applyFill="1" applyBorder="1" applyAlignment="1">
      <alignment horizontal="center" vertical="center" wrapText="1"/>
    </xf>
    <xf numFmtId="0" fontId="22" fillId="7" borderId="17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23" fillId="3" borderId="3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8" fillId="2" borderId="16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Ferrite-Beads_Taiyo-Yuden-FBMH1608HL121-TV_C515365.html" TargetMode="External"/><Relationship Id="rId18" Type="http://schemas.openxmlformats.org/officeDocument/2006/relationships/hyperlink" Target="https://www.lcsc.com/product-detail/Chip-Resistor-Surface-Mount_YAGEO-RC0603FR-0710KL_C98220.html" TargetMode="External"/><Relationship Id="rId26" Type="http://schemas.openxmlformats.org/officeDocument/2006/relationships/hyperlink" Target="https://www.lcsc.com/product-detail/Position-Sensor_Infineon-Technologies-TLE5012BE1000_C123083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Chip-Resistor-Surface-Mount_YAGEO-RC0603FR-07470RL_C114669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12" Type="http://schemas.openxmlformats.org/officeDocument/2006/relationships/hyperlink" Target="https://eu.mouser.com/ProductDetail/Harwin/M55-6012642R?qs=rrS6PyfT74ceXT9Rk1eWQA%3D%3D" TargetMode="External"/><Relationship Id="rId17" Type="http://schemas.openxmlformats.org/officeDocument/2006/relationships/hyperlink" Target="https://www.lcsc.com/product-detail/Chip-Resistor-Surface-Mount_YAGEO-RC0201JR-070RL_C106228.html" TargetMode="External"/><Relationship Id="rId25" Type="http://schemas.openxmlformats.org/officeDocument/2006/relationships/hyperlink" Target="https://www.lcsc.com/product-detail/CAN-ICs_Texas-Instruments-SN65HVDA1040AQDRQ1_C188675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Bipolar-Transistors-BJT_Diodes-Incorporated-MMBT2222A-7-F_C94515.html" TargetMode="External"/><Relationship Id="rId20" Type="http://schemas.openxmlformats.org/officeDocument/2006/relationships/hyperlink" Target="https://www.lcsc.com/product-detail/Chip-Resistor-Surface-Mount_YAGEO-RC0603JR-071KL_C14676.html" TargetMode="External"/><Relationship Id="rId29" Type="http://schemas.openxmlformats.org/officeDocument/2006/relationships/hyperlink" Target="https://eu.mouser.com/ProductDetail/Microchip-Technology/MCP9805T-BE-ST?qs=QVBMgXxBiLz7mzfqWZNLHA%3D%3D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DK-MPZ1608S121ATDH5_C307770.html" TargetMode="External"/><Relationship Id="rId24" Type="http://schemas.openxmlformats.org/officeDocument/2006/relationships/hyperlink" Target="https://www.lcsc.com/product-detail/Microcontroller-Units-MCUs-MPUs-SOCs_STMicroelectronics-STM32F407VET6_C28730.html" TargetMode="External"/><Relationship Id="rId32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digikey.com/en/products/detail/adam-tech/SMC-1-05-1-GT/9831387" TargetMode="External"/><Relationship Id="rId23" Type="http://schemas.openxmlformats.org/officeDocument/2006/relationships/hyperlink" Target="https://www.lcsc.com/product-detail/Tactile-Switches_G-Switch-GT-TC025D-H0065-L1_C778132.html" TargetMode="External"/><Relationship Id="rId28" Type="http://schemas.openxmlformats.org/officeDocument/2006/relationships/hyperlink" Target="https://www.lcsc.com/product-detail/Buffers-Drivers_Texas-Instruments-SN74LV1T34DBVR_C100024.html" TargetMode="External"/><Relationship Id="rId10" Type="http://schemas.openxmlformats.org/officeDocument/2006/relationships/hyperlink" Target="https://www.lcsc.com/product-detail/span-style-background-color-ff0-ESD-span-Protection-Devices_onsemi-ESD9L5-0ST5G_C82326.html" TargetMode="External"/><Relationship Id="rId19" Type="http://schemas.openxmlformats.org/officeDocument/2006/relationships/hyperlink" Target="https://www.lcsc.com/product-detail/Chip-Resistor-Surface-Mount_UNI-ROYAL-Uniroyal-Elec-0201WMF8060TEE_C474262.html" TargetMode="External"/><Relationship Id="rId31" Type="http://schemas.openxmlformats.org/officeDocument/2006/relationships/hyperlink" Target="https://eu.mouser.com/ProductDetail/Citizen-FineDevice/HCM4920000000ABJT?qs=byeeYqUIh0OtOF1YLTCYUw%3D%3D&amp;utm_source=digipart&amp;utm_medium=aggregator&amp;utm_campaign=HCM4920000000ABJT&amp;utm_term=HCM4920000000ABJT&amp;utm_content=Citizen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span-style-background-color-ff0-ESD-span-Protection-Devices_Nexperia-PESD2CAN-215_C75176.html" TargetMode="External"/><Relationship Id="rId14" Type="http://schemas.openxmlformats.org/officeDocument/2006/relationships/hyperlink" Target="https://www.lcsc.com/product-detail/Light-Emitting-Diodes-span-style-background-color-ff0-LED-span_MEIHUA-MHT136CGCT_C401111.html" TargetMode="External"/><Relationship Id="rId22" Type="http://schemas.openxmlformats.org/officeDocument/2006/relationships/hyperlink" Target="https://www.lcsc.com/product-detail/Chip-Resistor-Surface-Mount_BOURNS-CR0603-FX-57R6ELF_C203694.html" TargetMode="External"/><Relationship Id="rId27" Type="http://schemas.openxmlformats.org/officeDocument/2006/relationships/hyperlink" Target="https://www.utsource.net/itm/p/11713089.html?digipart=1" TargetMode="External"/><Relationship Id="rId30" Type="http://schemas.openxmlformats.org/officeDocument/2006/relationships/hyperlink" Target="https://www.lcsc.com/product-detail/EEPROM_onsemi-CAT24C32HU4I-GT3_C233772.html" TargetMode="External"/><Relationship Id="rId8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E22" workbookViewId="0">
      <selection activeCell="I36" sqref="I36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33.42578125" customWidth="1"/>
    <col min="11" max="11" width="17.85546875" bestFit="1" customWidth="1"/>
    <col min="12" max="12" width="16.7109375" bestFit="1" customWidth="1"/>
    <col min="13" max="13" width="20.85546875" customWidth="1"/>
    <col min="14" max="15" width="19.140625" customWidth="1"/>
    <col min="16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75"/>
    </row>
    <row r="4" spans="1:18" x14ac:dyDescent="0.2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76"/>
    </row>
    <row r="5" spans="1:18" x14ac:dyDescent="0.2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76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76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76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76"/>
    </row>
    <row r="9" spans="1:18" ht="15.75" thickBot="1" x14ac:dyDescent="0.3">
      <c r="A9" s="1"/>
      <c r="B9" s="29" t="s">
        <v>4</v>
      </c>
      <c r="C9" s="29" t="s">
        <v>176</v>
      </c>
      <c r="D9" s="29" t="s">
        <v>10</v>
      </c>
      <c r="E9" s="30" t="s">
        <v>43</v>
      </c>
      <c r="F9" s="29" t="s">
        <v>76</v>
      </c>
      <c r="G9" s="30" t="s">
        <v>101</v>
      </c>
      <c r="H9" s="29" t="s">
        <v>125</v>
      </c>
      <c r="I9" s="29" t="s">
        <v>177</v>
      </c>
      <c r="J9" s="29" t="s">
        <v>178</v>
      </c>
      <c r="K9" s="30" t="s">
        <v>147</v>
      </c>
      <c r="L9" s="29" t="s">
        <v>162</v>
      </c>
      <c r="M9" s="29" t="s">
        <v>179</v>
      </c>
      <c r="N9" s="29" t="s">
        <v>180</v>
      </c>
      <c r="O9" s="29" t="s">
        <v>181</v>
      </c>
      <c r="P9" s="29" t="s">
        <v>182</v>
      </c>
      <c r="Q9" s="31" t="s">
        <v>183</v>
      </c>
      <c r="R9" s="31" t="s">
        <v>184</v>
      </c>
    </row>
    <row r="10" spans="1:18" ht="15.75" thickBot="1" x14ac:dyDescent="0.3">
      <c r="A10" s="1"/>
      <c r="B10" s="53">
        <f>ROW(B10) - ROW($B$9)</f>
        <v>1</v>
      </c>
      <c r="C10" s="37" t="s">
        <v>163</v>
      </c>
      <c r="D10" s="37" t="s">
        <v>11</v>
      </c>
      <c r="E10" s="38" t="s">
        <v>44</v>
      </c>
      <c r="F10" s="37" t="s">
        <v>77</v>
      </c>
      <c r="G10" s="38" t="s">
        <v>102</v>
      </c>
      <c r="H10" s="37" t="s">
        <v>126</v>
      </c>
      <c r="I10" s="37" t="s">
        <v>185</v>
      </c>
      <c r="J10" s="37" t="s">
        <v>186</v>
      </c>
      <c r="K10" s="38" t="s">
        <v>148</v>
      </c>
      <c r="L10" s="37">
        <v>1</v>
      </c>
      <c r="M10" s="37">
        <f>L10*20</f>
        <v>20</v>
      </c>
      <c r="N10" s="37">
        <v>40</v>
      </c>
      <c r="O10" s="60" t="s">
        <v>187</v>
      </c>
      <c r="P10" s="37">
        <v>1.9199999999999998E-2</v>
      </c>
      <c r="Q10" s="41">
        <f>P10*N10</f>
        <v>0.7679999999999999</v>
      </c>
      <c r="R10" s="41"/>
    </row>
    <row r="11" spans="1:18" ht="24.75" thickBot="1" x14ac:dyDescent="0.3">
      <c r="A11" s="1"/>
      <c r="B11" s="53">
        <f t="shared" ref="B11:B41" si="0">ROW(B11) - ROW($B$9)</f>
        <v>2</v>
      </c>
      <c r="C11" s="39" t="s">
        <v>163</v>
      </c>
      <c r="D11" s="39" t="s">
        <v>12</v>
      </c>
      <c r="E11" s="40" t="s">
        <v>45</v>
      </c>
      <c r="F11" s="39" t="s">
        <v>77</v>
      </c>
      <c r="G11" s="40" t="s">
        <v>103</v>
      </c>
      <c r="H11" s="39" t="s">
        <v>126</v>
      </c>
      <c r="I11" s="39" t="s">
        <v>185</v>
      </c>
      <c r="J11" s="39" t="s">
        <v>188</v>
      </c>
      <c r="K11" s="40" t="s">
        <v>149</v>
      </c>
      <c r="L11" s="39">
        <v>19</v>
      </c>
      <c r="M11" s="39">
        <f>L11*20</f>
        <v>380</v>
      </c>
      <c r="N11" s="39">
        <v>400</v>
      </c>
      <c r="O11" s="61" t="s">
        <v>187</v>
      </c>
      <c r="P11" s="39">
        <v>1.4E-3</v>
      </c>
      <c r="Q11" s="42">
        <f t="shared" ref="Q11:Q42" si="1">P11*N11</f>
        <v>0.55999999999999994</v>
      </c>
      <c r="R11" s="42"/>
    </row>
    <row r="12" spans="1:18" ht="36.75" thickBot="1" x14ac:dyDescent="0.3">
      <c r="A12" s="1"/>
      <c r="B12" s="53">
        <f>ROW(B12) - ROW($B$9)</f>
        <v>3</v>
      </c>
      <c r="C12" s="37" t="s">
        <v>163</v>
      </c>
      <c r="D12" s="37" t="s">
        <v>13</v>
      </c>
      <c r="E12" s="38" t="s">
        <v>46</v>
      </c>
      <c r="F12" s="37" t="s">
        <v>174</v>
      </c>
      <c r="G12" s="38" t="s">
        <v>78</v>
      </c>
      <c r="H12" s="37" t="s">
        <v>127</v>
      </c>
      <c r="I12" s="37" t="s">
        <v>189</v>
      </c>
      <c r="J12" s="37" t="s">
        <v>190</v>
      </c>
      <c r="K12" s="38" t="s">
        <v>150</v>
      </c>
      <c r="L12" s="37">
        <v>1</v>
      </c>
      <c r="M12" s="37">
        <f t="shared" ref="M12:M42" si="2">L12*20</f>
        <v>20</v>
      </c>
      <c r="N12" s="37">
        <v>25</v>
      </c>
      <c r="O12" s="60" t="s">
        <v>187</v>
      </c>
      <c r="P12" s="37">
        <v>6.1499999999999999E-2</v>
      </c>
      <c r="Q12" s="41">
        <f t="shared" si="1"/>
        <v>1.5375000000000001</v>
      </c>
      <c r="R12" s="77" t="s">
        <v>191</v>
      </c>
    </row>
    <row r="13" spans="1:18" ht="15.75" thickBot="1" x14ac:dyDescent="0.3">
      <c r="A13" s="1"/>
      <c r="B13" s="53">
        <f t="shared" si="0"/>
        <v>4</v>
      </c>
      <c r="C13" s="39" t="s">
        <v>163</v>
      </c>
      <c r="D13" s="39" t="s">
        <v>14</v>
      </c>
      <c r="E13" s="40" t="s">
        <v>47</v>
      </c>
      <c r="F13" s="39" t="s">
        <v>79</v>
      </c>
      <c r="G13" s="40" t="s">
        <v>104</v>
      </c>
      <c r="H13" s="39" t="s">
        <v>128</v>
      </c>
      <c r="I13" s="39" t="s">
        <v>185</v>
      </c>
      <c r="J13" s="39" t="s">
        <v>192</v>
      </c>
      <c r="K13" s="40" t="s">
        <v>151</v>
      </c>
      <c r="L13" s="39">
        <v>2</v>
      </c>
      <c r="M13" s="39">
        <f t="shared" si="2"/>
        <v>40</v>
      </c>
      <c r="N13" s="39">
        <v>50</v>
      </c>
      <c r="O13" s="61" t="s">
        <v>187</v>
      </c>
      <c r="P13" s="39">
        <v>5.0099999999999999E-2</v>
      </c>
      <c r="Q13" s="42">
        <f t="shared" si="1"/>
        <v>2.5049999999999999</v>
      </c>
      <c r="R13" s="42"/>
    </row>
    <row r="14" spans="1:18" ht="15.75" thickBot="1" x14ac:dyDescent="0.3">
      <c r="A14" s="1"/>
      <c r="B14" s="53">
        <f>ROW(B14) - ROW($B$9)</f>
        <v>5</v>
      </c>
      <c r="C14" s="37" t="s">
        <v>163</v>
      </c>
      <c r="D14" s="37" t="s">
        <v>15</v>
      </c>
      <c r="E14" s="38" t="s">
        <v>48</v>
      </c>
      <c r="F14" s="37" t="s">
        <v>79</v>
      </c>
      <c r="G14" s="38" t="s">
        <v>105</v>
      </c>
      <c r="H14" s="37" t="s">
        <v>129</v>
      </c>
      <c r="I14" s="37" t="s">
        <v>185</v>
      </c>
      <c r="J14" s="37" t="s">
        <v>193</v>
      </c>
      <c r="K14" s="38" t="s">
        <v>152</v>
      </c>
      <c r="L14" s="37">
        <v>2</v>
      </c>
      <c r="M14" s="37">
        <f t="shared" si="2"/>
        <v>40</v>
      </c>
      <c r="N14" s="37">
        <v>100</v>
      </c>
      <c r="O14" s="60" t="s">
        <v>187</v>
      </c>
      <c r="P14" s="37">
        <v>3.3999999999999998E-3</v>
      </c>
      <c r="Q14" s="41">
        <f t="shared" si="1"/>
        <v>0.33999999999999997</v>
      </c>
      <c r="R14" s="41"/>
    </row>
    <row r="15" spans="1:18" ht="15.75" thickBot="1" x14ac:dyDescent="0.3">
      <c r="A15" s="1"/>
      <c r="B15" s="53">
        <f t="shared" si="0"/>
        <v>6</v>
      </c>
      <c r="C15" s="39" t="s">
        <v>163</v>
      </c>
      <c r="D15" s="39" t="s">
        <v>16</v>
      </c>
      <c r="E15" s="40" t="s">
        <v>49</v>
      </c>
      <c r="F15" s="39" t="s">
        <v>80</v>
      </c>
      <c r="G15" s="40" t="s">
        <v>106</v>
      </c>
      <c r="H15" s="39" t="s">
        <v>130</v>
      </c>
      <c r="I15" s="39" t="s">
        <v>194</v>
      </c>
      <c r="J15" s="39" t="s">
        <v>195</v>
      </c>
      <c r="K15" s="40" t="s">
        <v>153</v>
      </c>
      <c r="L15" s="39">
        <v>2</v>
      </c>
      <c r="M15" s="39">
        <f t="shared" si="2"/>
        <v>40</v>
      </c>
      <c r="N15" s="39">
        <v>50</v>
      </c>
      <c r="O15" s="61" t="s">
        <v>187</v>
      </c>
      <c r="P15" s="39">
        <v>7.3000000000000001E-3</v>
      </c>
      <c r="Q15" s="42">
        <f t="shared" si="1"/>
        <v>0.36499999999999999</v>
      </c>
      <c r="R15" s="42"/>
    </row>
    <row r="16" spans="1:18" ht="15.75" thickBot="1" x14ac:dyDescent="0.3">
      <c r="A16" s="1"/>
      <c r="B16" s="53">
        <f>ROW(B16) - ROW($B$9)</f>
        <v>7</v>
      </c>
      <c r="C16" s="37" t="s">
        <v>163</v>
      </c>
      <c r="D16" s="37" t="s">
        <v>17</v>
      </c>
      <c r="E16" s="38" t="s">
        <v>50</v>
      </c>
      <c r="F16" s="37" t="s">
        <v>77</v>
      </c>
      <c r="G16" s="38" t="s">
        <v>107</v>
      </c>
      <c r="H16" s="37" t="s">
        <v>126</v>
      </c>
      <c r="I16" s="37" t="s">
        <v>185</v>
      </c>
      <c r="J16" s="37" t="s">
        <v>196</v>
      </c>
      <c r="K16" s="38" t="s">
        <v>154</v>
      </c>
      <c r="L16" s="37">
        <v>1</v>
      </c>
      <c r="M16" s="37">
        <f t="shared" si="2"/>
        <v>20</v>
      </c>
      <c r="N16" s="37">
        <v>40</v>
      </c>
      <c r="O16" s="60" t="s">
        <v>187</v>
      </c>
      <c r="P16" s="37">
        <v>1.49E-2</v>
      </c>
      <c r="Q16" s="41">
        <f t="shared" si="1"/>
        <v>0.59599999999999997</v>
      </c>
      <c r="R16" s="41"/>
    </row>
    <row r="17" spans="1:18" ht="24.75" thickBot="1" x14ac:dyDescent="0.3">
      <c r="A17" s="1"/>
      <c r="B17" s="53">
        <f t="shared" si="0"/>
        <v>8</v>
      </c>
      <c r="C17" s="39" t="s">
        <v>163</v>
      </c>
      <c r="D17" s="39" t="s">
        <v>18</v>
      </c>
      <c r="E17" s="40" t="s">
        <v>45</v>
      </c>
      <c r="F17" s="39" t="s">
        <v>79</v>
      </c>
      <c r="G17" s="40" t="s">
        <v>103</v>
      </c>
      <c r="H17" s="39" t="s">
        <v>126</v>
      </c>
      <c r="I17" s="39" t="s">
        <v>185</v>
      </c>
      <c r="J17" s="39" t="s">
        <v>188</v>
      </c>
      <c r="K17" s="40" t="s">
        <v>149</v>
      </c>
      <c r="L17" s="39">
        <v>1</v>
      </c>
      <c r="M17" s="39">
        <f t="shared" si="2"/>
        <v>20</v>
      </c>
      <c r="N17" s="39">
        <v>100</v>
      </c>
      <c r="O17" s="61" t="s">
        <v>187</v>
      </c>
      <c r="P17" s="39">
        <v>1.4E-3</v>
      </c>
      <c r="Q17" s="42">
        <f t="shared" si="1"/>
        <v>0.13999999999999999</v>
      </c>
      <c r="R17" s="42"/>
    </row>
    <row r="18" spans="1:18" ht="36.75" thickBot="1" x14ac:dyDescent="0.3">
      <c r="A18" s="1"/>
      <c r="B18" s="53">
        <f>ROW(B18) - ROW($B$9)</f>
        <v>9</v>
      </c>
      <c r="C18" s="37" t="s">
        <v>164</v>
      </c>
      <c r="D18" s="37" t="s">
        <v>235</v>
      </c>
      <c r="E18" s="38" t="s">
        <v>51</v>
      </c>
      <c r="F18" s="37" t="s">
        <v>174</v>
      </c>
      <c r="G18" s="37" t="s">
        <v>81</v>
      </c>
      <c r="H18" s="37" t="s">
        <v>131</v>
      </c>
      <c r="I18" s="37" t="s">
        <v>197</v>
      </c>
      <c r="J18" s="37" t="s">
        <v>198</v>
      </c>
      <c r="K18" s="38" t="s">
        <v>185</v>
      </c>
      <c r="L18" s="78">
        <v>1</v>
      </c>
      <c r="M18" s="37">
        <f t="shared" si="2"/>
        <v>20</v>
      </c>
      <c r="N18" s="37">
        <v>25</v>
      </c>
      <c r="O18" s="60" t="s">
        <v>187</v>
      </c>
      <c r="P18" s="37">
        <v>0.17119999999999999</v>
      </c>
      <c r="Q18" s="41">
        <f t="shared" si="1"/>
        <v>4.2799999999999994</v>
      </c>
      <c r="R18" s="77" t="s">
        <v>199</v>
      </c>
    </row>
    <row r="19" spans="1:18" ht="15.75" thickBot="1" x14ac:dyDescent="0.3">
      <c r="A19" s="1"/>
      <c r="B19" s="53">
        <f t="shared" si="0"/>
        <v>10</v>
      </c>
      <c r="C19" s="39" t="s">
        <v>164</v>
      </c>
      <c r="D19" s="39" t="s">
        <v>19</v>
      </c>
      <c r="E19" s="40" t="s">
        <v>52</v>
      </c>
      <c r="F19" s="39" t="s">
        <v>82</v>
      </c>
      <c r="G19" s="40" t="s">
        <v>108</v>
      </c>
      <c r="H19" s="39" t="s">
        <v>132</v>
      </c>
      <c r="I19" s="39" t="s">
        <v>185</v>
      </c>
      <c r="J19" s="39" t="s">
        <v>200</v>
      </c>
      <c r="K19" s="40" t="s">
        <v>185</v>
      </c>
      <c r="L19" s="39">
        <v>1</v>
      </c>
      <c r="M19" s="39">
        <f t="shared" si="2"/>
        <v>20</v>
      </c>
      <c r="N19" s="39">
        <v>25</v>
      </c>
      <c r="O19" s="61" t="s">
        <v>187</v>
      </c>
      <c r="P19" s="39">
        <v>0.1066</v>
      </c>
      <c r="Q19" s="42">
        <f t="shared" si="1"/>
        <v>2.665</v>
      </c>
      <c r="R19" s="42"/>
    </row>
    <row r="20" spans="1:18" ht="36.75" thickBot="1" x14ac:dyDescent="0.3">
      <c r="A20" s="1"/>
      <c r="B20" s="53">
        <f>ROW(B20) - ROW($B$9)</f>
        <v>11</v>
      </c>
      <c r="C20" s="37" t="s">
        <v>165</v>
      </c>
      <c r="D20" s="37" t="s">
        <v>20</v>
      </c>
      <c r="E20" s="38" t="s">
        <v>53</v>
      </c>
      <c r="F20" s="37" t="s">
        <v>201</v>
      </c>
      <c r="G20" s="38" t="s">
        <v>83</v>
      </c>
      <c r="H20" s="37" t="s">
        <v>130</v>
      </c>
      <c r="I20" s="37" t="s">
        <v>185</v>
      </c>
      <c r="J20" s="37" t="s">
        <v>202</v>
      </c>
      <c r="K20" s="38" t="s">
        <v>185</v>
      </c>
      <c r="L20" s="37">
        <v>4</v>
      </c>
      <c r="M20" s="37">
        <f t="shared" si="2"/>
        <v>80</v>
      </c>
      <c r="N20" s="37">
        <v>100</v>
      </c>
      <c r="O20" s="60" t="s">
        <v>187</v>
      </c>
      <c r="P20" s="37">
        <v>2.9499999999999998E-2</v>
      </c>
      <c r="Q20" s="41">
        <f t="shared" si="1"/>
        <v>2.9499999999999997</v>
      </c>
      <c r="R20" s="41"/>
    </row>
    <row r="21" spans="1:18" ht="15.75" thickBot="1" x14ac:dyDescent="0.3">
      <c r="A21" s="1"/>
      <c r="B21" s="53">
        <f t="shared" si="0"/>
        <v>12</v>
      </c>
      <c r="C21" s="39" t="s">
        <v>166</v>
      </c>
      <c r="D21" s="39" t="s">
        <v>21</v>
      </c>
      <c r="E21" s="40" t="s">
        <v>54</v>
      </c>
      <c r="F21" s="39" t="s">
        <v>174</v>
      </c>
      <c r="G21" s="40" t="s">
        <v>84</v>
      </c>
      <c r="H21" s="39" t="s">
        <v>133</v>
      </c>
      <c r="I21" s="39" t="s">
        <v>185</v>
      </c>
      <c r="J21" s="39" t="s">
        <v>185</v>
      </c>
      <c r="K21" s="40" t="s">
        <v>185</v>
      </c>
      <c r="L21" s="39">
        <v>1</v>
      </c>
      <c r="M21" s="39">
        <f t="shared" si="2"/>
        <v>20</v>
      </c>
      <c r="N21" s="39">
        <v>25</v>
      </c>
      <c r="O21" s="61" t="s">
        <v>203</v>
      </c>
      <c r="P21" s="39">
        <v>2.09</v>
      </c>
      <c r="Q21" s="42">
        <f t="shared" si="1"/>
        <v>52.25</v>
      </c>
      <c r="R21" s="42"/>
    </row>
    <row r="22" spans="1:18" ht="36.75" thickBot="1" x14ac:dyDescent="0.3">
      <c r="A22" s="1"/>
      <c r="B22" s="53">
        <f>ROW(B22) - ROW($B$9)</f>
        <v>13</v>
      </c>
      <c r="C22" s="37" t="s">
        <v>165</v>
      </c>
      <c r="D22" s="37" t="s">
        <v>22</v>
      </c>
      <c r="E22" s="38" t="s">
        <v>55</v>
      </c>
      <c r="F22" s="37" t="s">
        <v>85</v>
      </c>
      <c r="G22" s="38" t="s">
        <v>109</v>
      </c>
      <c r="H22" s="37" t="s">
        <v>134</v>
      </c>
      <c r="I22" s="37" t="s">
        <v>185</v>
      </c>
      <c r="J22" s="37" t="s">
        <v>204</v>
      </c>
      <c r="K22" s="38" t="s">
        <v>185</v>
      </c>
      <c r="L22" s="37">
        <v>1</v>
      </c>
      <c r="M22" s="37">
        <f t="shared" si="2"/>
        <v>20</v>
      </c>
      <c r="N22" s="37">
        <v>25</v>
      </c>
      <c r="O22" s="60" t="s">
        <v>187</v>
      </c>
      <c r="P22" s="37">
        <v>9.8500000000000004E-2</v>
      </c>
      <c r="Q22" s="41">
        <f t="shared" si="1"/>
        <v>2.4624999999999999</v>
      </c>
      <c r="R22" s="41"/>
    </row>
    <row r="23" spans="1:18" ht="15.75" thickBot="1" x14ac:dyDescent="0.3">
      <c r="A23" s="1"/>
      <c r="B23" s="53">
        <f t="shared" si="0"/>
        <v>14</v>
      </c>
      <c r="C23" s="39" t="s">
        <v>167</v>
      </c>
      <c r="D23" s="39" t="s">
        <v>23</v>
      </c>
      <c r="E23" s="40" t="s">
        <v>56</v>
      </c>
      <c r="F23" s="39" t="s">
        <v>86</v>
      </c>
      <c r="G23" s="40" t="s">
        <v>110</v>
      </c>
      <c r="H23" s="39" t="s">
        <v>135</v>
      </c>
      <c r="I23" s="39" t="s">
        <v>205</v>
      </c>
      <c r="J23" s="39" t="s">
        <v>206</v>
      </c>
      <c r="K23" s="40" t="s">
        <v>185</v>
      </c>
      <c r="L23" s="39">
        <v>1</v>
      </c>
      <c r="M23" s="39">
        <f t="shared" si="2"/>
        <v>20</v>
      </c>
      <c r="N23" s="39">
        <v>30</v>
      </c>
      <c r="O23" s="61" t="s">
        <v>187</v>
      </c>
      <c r="P23" s="39">
        <v>4.2200000000000001E-2</v>
      </c>
      <c r="Q23" s="42">
        <f t="shared" si="1"/>
        <v>1.266</v>
      </c>
      <c r="R23" s="42"/>
    </row>
    <row r="24" spans="1:18" ht="15.75" thickBot="1" x14ac:dyDescent="0.3">
      <c r="A24" s="1"/>
      <c r="B24" s="53">
        <f>ROW(B24) - ROW($B$9)</f>
        <v>15</v>
      </c>
      <c r="C24" s="37" t="s">
        <v>168</v>
      </c>
      <c r="D24" s="37" t="s">
        <v>24</v>
      </c>
      <c r="E24" s="38" t="s">
        <v>57</v>
      </c>
      <c r="F24" s="37" t="s">
        <v>174</v>
      </c>
      <c r="G24" s="38" t="s">
        <v>87</v>
      </c>
      <c r="H24" s="37" t="s">
        <v>136</v>
      </c>
      <c r="I24" s="37" t="s">
        <v>185</v>
      </c>
      <c r="J24" s="37" t="s">
        <v>185</v>
      </c>
      <c r="K24" s="38" t="s">
        <v>185</v>
      </c>
      <c r="L24" s="37">
        <v>1</v>
      </c>
      <c r="M24" s="37">
        <f t="shared" si="2"/>
        <v>20</v>
      </c>
      <c r="N24" s="37">
        <v>25</v>
      </c>
      <c r="O24" s="60" t="s">
        <v>207</v>
      </c>
      <c r="P24" s="37">
        <v>0.30840000000000001</v>
      </c>
      <c r="Q24" s="41">
        <f t="shared" si="1"/>
        <v>7.71</v>
      </c>
      <c r="R24" s="41"/>
    </row>
    <row r="25" spans="1:18" ht="15.75" thickBot="1" x14ac:dyDescent="0.3">
      <c r="A25" s="1"/>
      <c r="B25" s="53">
        <f t="shared" si="0"/>
        <v>16</v>
      </c>
      <c r="C25" s="39" t="s">
        <v>169</v>
      </c>
      <c r="D25" s="39" t="s">
        <v>25</v>
      </c>
      <c r="E25" s="40" t="s">
        <v>58</v>
      </c>
      <c r="F25" s="39" t="s">
        <v>88</v>
      </c>
      <c r="G25" s="40" t="s">
        <v>111</v>
      </c>
      <c r="H25" s="39" t="s">
        <v>137</v>
      </c>
      <c r="I25" s="39" t="s">
        <v>185</v>
      </c>
      <c r="J25" s="39" t="s">
        <v>208</v>
      </c>
      <c r="K25" s="40" t="s">
        <v>185</v>
      </c>
      <c r="L25" s="39">
        <v>2</v>
      </c>
      <c r="M25" s="39">
        <f t="shared" si="2"/>
        <v>40</v>
      </c>
      <c r="N25" s="39">
        <v>60</v>
      </c>
      <c r="O25" s="61" t="s">
        <v>187</v>
      </c>
      <c r="P25" s="39">
        <v>3.4799999999999998E-2</v>
      </c>
      <c r="Q25" s="42">
        <f t="shared" si="1"/>
        <v>2.0880000000000001</v>
      </c>
      <c r="R25" s="42"/>
    </row>
    <row r="26" spans="1:18" ht="60.75" thickBot="1" x14ac:dyDescent="0.3">
      <c r="A26" s="1"/>
      <c r="B26" s="53">
        <f>ROW(B26) - ROW($B$9)</f>
        <v>17</v>
      </c>
      <c r="C26" s="37" t="s">
        <v>170</v>
      </c>
      <c r="D26" s="37" t="s">
        <v>26</v>
      </c>
      <c r="E26" s="38" t="s">
        <v>59</v>
      </c>
      <c r="F26" s="37" t="s">
        <v>89</v>
      </c>
      <c r="G26" s="38" t="s">
        <v>112</v>
      </c>
      <c r="H26" s="37" t="s">
        <v>129</v>
      </c>
      <c r="I26" s="37" t="s">
        <v>185</v>
      </c>
      <c r="J26" s="37" t="s">
        <v>209</v>
      </c>
      <c r="K26" s="38" t="s">
        <v>155</v>
      </c>
      <c r="L26" s="37">
        <v>40</v>
      </c>
      <c r="M26" s="37">
        <f t="shared" si="2"/>
        <v>800</v>
      </c>
      <c r="N26" s="37">
        <v>900</v>
      </c>
      <c r="O26" s="60" t="s">
        <v>187</v>
      </c>
      <c r="P26" s="37">
        <v>8.9999999999999998E-4</v>
      </c>
      <c r="Q26" s="41">
        <f t="shared" si="1"/>
        <v>0.80999999999999994</v>
      </c>
      <c r="R26" s="41"/>
    </row>
    <row r="27" spans="1:18" ht="15.75" thickBot="1" x14ac:dyDescent="0.3">
      <c r="A27" s="1"/>
      <c r="B27" s="53">
        <f t="shared" si="0"/>
        <v>18</v>
      </c>
      <c r="C27" s="39" t="s">
        <v>170</v>
      </c>
      <c r="D27" s="39" t="s">
        <v>27</v>
      </c>
      <c r="E27" s="40" t="s">
        <v>60</v>
      </c>
      <c r="F27" s="39" t="s">
        <v>90</v>
      </c>
      <c r="G27" s="40" t="s">
        <v>113</v>
      </c>
      <c r="H27" s="39" t="s">
        <v>129</v>
      </c>
      <c r="I27" s="39" t="s">
        <v>185</v>
      </c>
      <c r="J27" s="39" t="s">
        <v>210</v>
      </c>
      <c r="K27" s="40" t="s">
        <v>156</v>
      </c>
      <c r="L27" s="39">
        <v>7</v>
      </c>
      <c r="M27" s="39">
        <f t="shared" si="2"/>
        <v>140</v>
      </c>
      <c r="N27" s="39">
        <v>200</v>
      </c>
      <c r="O27" s="61" t="s">
        <v>187</v>
      </c>
      <c r="P27" s="39">
        <v>1.1999999999999999E-3</v>
      </c>
      <c r="Q27" s="42">
        <f t="shared" si="1"/>
        <v>0.24</v>
      </c>
      <c r="R27" s="42"/>
    </row>
    <row r="28" spans="1:18" ht="36.75" thickBot="1" x14ac:dyDescent="0.3">
      <c r="A28" s="1"/>
      <c r="B28" s="53">
        <f>ROW(B28) - ROW($B$9)</f>
        <v>19</v>
      </c>
      <c r="C28" s="37" t="s">
        <v>170</v>
      </c>
      <c r="D28" s="37" t="s">
        <v>28</v>
      </c>
      <c r="E28" s="38" t="s">
        <v>61</v>
      </c>
      <c r="F28" s="37" t="s">
        <v>89</v>
      </c>
      <c r="G28" s="38" t="s">
        <v>114</v>
      </c>
      <c r="H28" s="37" t="s">
        <v>138</v>
      </c>
      <c r="I28" s="37" t="s">
        <v>211</v>
      </c>
      <c r="J28" s="37" t="s">
        <v>212</v>
      </c>
      <c r="K28" s="38" t="s">
        <v>157</v>
      </c>
      <c r="L28" s="37">
        <v>1</v>
      </c>
      <c r="M28" s="37">
        <f t="shared" si="2"/>
        <v>20</v>
      </c>
      <c r="N28" s="37">
        <v>100</v>
      </c>
      <c r="O28" s="60" t="s">
        <v>187</v>
      </c>
      <c r="P28" s="37">
        <v>2.0999999999999999E-3</v>
      </c>
      <c r="Q28" s="41">
        <f t="shared" si="1"/>
        <v>0.21</v>
      </c>
      <c r="R28" s="41"/>
    </row>
    <row r="29" spans="1:18" ht="24.75" thickBot="1" x14ac:dyDescent="0.3">
      <c r="A29" s="1"/>
      <c r="B29" s="53">
        <f t="shared" si="0"/>
        <v>20</v>
      </c>
      <c r="C29" s="39" t="s">
        <v>170</v>
      </c>
      <c r="D29" s="39" t="s">
        <v>29</v>
      </c>
      <c r="E29" s="40" t="s">
        <v>62</v>
      </c>
      <c r="F29" s="39" t="s">
        <v>90</v>
      </c>
      <c r="G29" s="40" t="s">
        <v>115</v>
      </c>
      <c r="H29" s="39" t="s">
        <v>129</v>
      </c>
      <c r="I29" s="39" t="s">
        <v>185</v>
      </c>
      <c r="J29" s="39" t="s">
        <v>213</v>
      </c>
      <c r="K29" s="40" t="s">
        <v>158</v>
      </c>
      <c r="L29" s="39">
        <v>2</v>
      </c>
      <c r="M29" s="39">
        <f t="shared" si="2"/>
        <v>40</v>
      </c>
      <c r="N29" s="39">
        <v>100</v>
      </c>
      <c r="O29" s="61" t="s">
        <v>187</v>
      </c>
      <c r="P29" s="39">
        <v>1.4E-3</v>
      </c>
      <c r="Q29" s="42">
        <f t="shared" si="1"/>
        <v>0.13999999999999999</v>
      </c>
      <c r="R29" s="42"/>
    </row>
    <row r="30" spans="1:18" ht="24.75" thickBot="1" x14ac:dyDescent="0.3">
      <c r="A30" s="1"/>
      <c r="B30" s="53">
        <f>ROW(B30) - ROW($B$9)</f>
        <v>21</v>
      </c>
      <c r="C30" s="37" t="s">
        <v>170</v>
      </c>
      <c r="D30" s="37" t="s">
        <v>30</v>
      </c>
      <c r="E30" s="38" t="s">
        <v>63</v>
      </c>
      <c r="F30" s="37" t="s">
        <v>90</v>
      </c>
      <c r="G30" s="38" t="s">
        <v>116</v>
      </c>
      <c r="H30" s="37" t="s">
        <v>129</v>
      </c>
      <c r="I30" s="37" t="s">
        <v>185</v>
      </c>
      <c r="J30" s="37" t="s">
        <v>214</v>
      </c>
      <c r="K30" s="38" t="s">
        <v>159</v>
      </c>
      <c r="L30" s="37">
        <v>1</v>
      </c>
      <c r="M30" s="37">
        <f t="shared" si="2"/>
        <v>20</v>
      </c>
      <c r="N30" s="37">
        <v>100</v>
      </c>
      <c r="O30" s="60" t="s">
        <v>187</v>
      </c>
      <c r="P30" s="37">
        <v>1.4E-3</v>
      </c>
      <c r="Q30" s="41">
        <f t="shared" si="1"/>
        <v>0.13999999999999999</v>
      </c>
      <c r="R30" s="41"/>
    </row>
    <row r="31" spans="1:18" ht="15.75" thickBot="1" x14ac:dyDescent="0.3">
      <c r="A31" s="1"/>
      <c r="B31" s="53">
        <f t="shared" si="0"/>
        <v>22</v>
      </c>
      <c r="C31" s="39" t="s">
        <v>170</v>
      </c>
      <c r="D31" s="39" t="s">
        <v>31</v>
      </c>
      <c r="E31" s="40" t="s">
        <v>64</v>
      </c>
      <c r="F31" s="39" t="s">
        <v>90</v>
      </c>
      <c r="G31" s="40" t="s">
        <v>117</v>
      </c>
      <c r="H31" s="39" t="s">
        <v>129</v>
      </c>
      <c r="I31" s="39" t="s">
        <v>215</v>
      </c>
      <c r="J31" s="39" t="s">
        <v>216</v>
      </c>
      <c r="K31" s="40" t="s">
        <v>160</v>
      </c>
      <c r="L31" s="39">
        <v>2</v>
      </c>
      <c r="M31" s="39">
        <f t="shared" si="2"/>
        <v>40</v>
      </c>
      <c r="N31" s="39">
        <v>50</v>
      </c>
      <c r="O31" s="61" t="s">
        <v>187</v>
      </c>
      <c r="P31" s="39">
        <v>1.01E-2</v>
      </c>
      <c r="Q31" s="42">
        <f t="shared" si="1"/>
        <v>0.505</v>
      </c>
      <c r="R31" s="42"/>
    </row>
    <row r="32" spans="1:18" ht="15.75" thickBot="1" x14ac:dyDescent="0.3">
      <c r="A32" s="1"/>
      <c r="B32" s="53">
        <f>ROW(B32) - ROW($B$9)</f>
        <v>23</v>
      </c>
      <c r="C32" s="67" t="s">
        <v>91</v>
      </c>
      <c r="D32" s="67" t="s">
        <v>32</v>
      </c>
      <c r="E32" s="68" t="s">
        <v>65</v>
      </c>
      <c r="F32" s="67" t="s">
        <v>91</v>
      </c>
      <c r="G32" s="68" t="s">
        <v>185</v>
      </c>
      <c r="H32" s="67" t="s">
        <v>185</v>
      </c>
      <c r="I32" s="67" t="s">
        <v>185</v>
      </c>
      <c r="J32" s="67" t="s">
        <v>185</v>
      </c>
      <c r="K32" s="68" t="s">
        <v>185</v>
      </c>
      <c r="L32" s="67">
        <v>8</v>
      </c>
      <c r="M32" s="67">
        <f t="shared" si="2"/>
        <v>160</v>
      </c>
      <c r="N32" s="67">
        <v>160</v>
      </c>
      <c r="O32" s="67" t="s">
        <v>185</v>
      </c>
      <c r="P32" s="67">
        <v>0</v>
      </c>
      <c r="Q32" s="69">
        <f t="shared" si="1"/>
        <v>0</v>
      </c>
      <c r="R32" s="69" t="s">
        <v>217</v>
      </c>
    </row>
    <row r="33" spans="1:18" ht="15.75" thickBot="1" x14ac:dyDescent="0.3">
      <c r="A33" s="1"/>
      <c r="B33" s="53">
        <f t="shared" si="0"/>
        <v>24</v>
      </c>
      <c r="C33" s="79" t="s">
        <v>171</v>
      </c>
      <c r="D33" s="79" t="s">
        <v>33</v>
      </c>
      <c r="E33" s="80" t="s">
        <v>66</v>
      </c>
      <c r="F33" s="79" t="s">
        <v>174</v>
      </c>
      <c r="G33" s="80" t="s">
        <v>92</v>
      </c>
      <c r="H33" s="79" t="s">
        <v>139</v>
      </c>
      <c r="I33" s="79" t="s">
        <v>218</v>
      </c>
      <c r="J33" s="79" t="s">
        <v>219</v>
      </c>
      <c r="K33" s="80" t="s">
        <v>185</v>
      </c>
      <c r="L33" s="79">
        <v>1</v>
      </c>
      <c r="M33" s="79">
        <f t="shared" si="2"/>
        <v>20</v>
      </c>
      <c r="N33" s="79">
        <v>30</v>
      </c>
      <c r="O33" s="81" t="s">
        <v>187</v>
      </c>
      <c r="P33" s="79">
        <v>4.9599999999999998E-2</v>
      </c>
      <c r="Q33" s="82">
        <f t="shared" si="1"/>
        <v>1.488</v>
      </c>
      <c r="R33" s="77" t="s">
        <v>234</v>
      </c>
    </row>
    <row r="34" spans="1:18" ht="36.75" thickBot="1" x14ac:dyDescent="0.3">
      <c r="A34" s="1"/>
      <c r="B34" s="53">
        <f>ROW(B34) - ROW($B$9)</f>
        <v>25</v>
      </c>
      <c r="C34" s="37" t="s">
        <v>172</v>
      </c>
      <c r="D34" s="37" t="s">
        <v>34</v>
      </c>
      <c r="E34" s="38" t="s">
        <v>67</v>
      </c>
      <c r="F34" s="37" t="s">
        <v>175</v>
      </c>
      <c r="G34" s="38" t="s">
        <v>118</v>
      </c>
      <c r="H34" s="37" t="s">
        <v>140</v>
      </c>
      <c r="I34" s="37" t="s">
        <v>220</v>
      </c>
      <c r="J34" s="37" t="s">
        <v>221</v>
      </c>
      <c r="K34" s="38" t="s">
        <v>185</v>
      </c>
      <c r="L34" s="37">
        <v>1</v>
      </c>
      <c r="M34" s="37">
        <f t="shared" si="2"/>
        <v>20</v>
      </c>
      <c r="N34" s="37">
        <v>22</v>
      </c>
      <c r="O34" s="60" t="s">
        <v>187</v>
      </c>
      <c r="P34" s="37">
        <v>10.947699999999999</v>
      </c>
      <c r="Q34" s="41">
        <f t="shared" si="1"/>
        <v>240.84939999999997</v>
      </c>
      <c r="R34" s="77" t="s">
        <v>222</v>
      </c>
    </row>
    <row r="35" spans="1:18" ht="36.75" thickBot="1" x14ac:dyDescent="0.3">
      <c r="A35" s="1"/>
      <c r="B35" s="53">
        <f t="shared" si="0"/>
        <v>26</v>
      </c>
      <c r="C35" s="79" t="s">
        <v>172</v>
      </c>
      <c r="D35" s="79" t="s">
        <v>35</v>
      </c>
      <c r="E35" s="80" t="s">
        <v>68</v>
      </c>
      <c r="F35" s="79" t="s">
        <v>93</v>
      </c>
      <c r="G35" s="80" t="s">
        <v>119</v>
      </c>
      <c r="H35" s="79" t="s">
        <v>141</v>
      </c>
      <c r="I35" s="79" t="s">
        <v>223</v>
      </c>
      <c r="J35" s="79" t="s">
        <v>224</v>
      </c>
      <c r="K35" s="80" t="s">
        <v>185</v>
      </c>
      <c r="L35" s="79">
        <v>1</v>
      </c>
      <c r="M35" s="79">
        <f t="shared" si="2"/>
        <v>20</v>
      </c>
      <c r="N35" s="79">
        <v>22</v>
      </c>
      <c r="O35" s="81" t="s">
        <v>187</v>
      </c>
      <c r="P35" s="79">
        <v>3.0078999999999998</v>
      </c>
      <c r="Q35" s="82">
        <f t="shared" si="1"/>
        <v>66.1738</v>
      </c>
      <c r="R35" s="77" t="s">
        <v>222</v>
      </c>
    </row>
    <row r="36" spans="1:18" ht="48.75" thickBot="1" x14ac:dyDescent="0.3">
      <c r="A36" s="1"/>
      <c r="B36" s="53">
        <f>ROW(B36) - ROW($B$9)</f>
        <v>27</v>
      </c>
      <c r="C36" s="62" t="s">
        <v>172</v>
      </c>
      <c r="D36" s="62" t="s">
        <v>36</v>
      </c>
      <c r="E36" s="63" t="s">
        <v>69</v>
      </c>
      <c r="F36" s="62" t="s">
        <v>94</v>
      </c>
      <c r="G36" s="63" t="s">
        <v>120</v>
      </c>
      <c r="H36" s="62" t="s">
        <v>142</v>
      </c>
      <c r="I36" s="62" t="s">
        <v>225</v>
      </c>
      <c r="J36" s="62" t="s">
        <v>226</v>
      </c>
      <c r="K36" s="63" t="s">
        <v>185</v>
      </c>
      <c r="L36" s="62">
        <v>1</v>
      </c>
      <c r="M36" s="62">
        <f t="shared" si="2"/>
        <v>20</v>
      </c>
      <c r="N36" s="62">
        <v>22</v>
      </c>
      <c r="O36" s="64" t="s">
        <v>187</v>
      </c>
      <c r="P36" s="62">
        <v>4.2937000000000003</v>
      </c>
      <c r="Q36" s="65">
        <f t="shared" si="1"/>
        <v>94.461400000000012</v>
      </c>
      <c r="R36" s="66" t="s">
        <v>227</v>
      </c>
    </row>
    <row r="37" spans="1:18" ht="15.75" thickBot="1" x14ac:dyDescent="0.3">
      <c r="A37" s="1"/>
      <c r="B37" s="53">
        <f t="shared" si="0"/>
        <v>28</v>
      </c>
      <c r="C37" s="39" t="s">
        <v>172</v>
      </c>
      <c r="D37" s="39" t="s">
        <v>37</v>
      </c>
      <c r="E37" s="40" t="s">
        <v>70</v>
      </c>
      <c r="F37" s="39" t="s">
        <v>95</v>
      </c>
      <c r="G37" s="40" t="s">
        <v>121</v>
      </c>
      <c r="H37" s="39" t="s">
        <v>143</v>
      </c>
      <c r="I37" s="39" t="s">
        <v>185</v>
      </c>
      <c r="J37" s="39" t="s">
        <v>185</v>
      </c>
      <c r="K37" s="40" t="s">
        <v>185</v>
      </c>
      <c r="L37" s="39">
        <v>1</v>
      </c>
      <c r="M37" s="39">
        <f t="shared" si="2"/>
        <v>20</v>
      </c>
      <c r="N37" s="39">
        <v>22</v>
      </c>
      <c r="O37" s="61" t="s">
        <v>228</v>
      </c>
      <c r="P37" s="39">
        <v>10.6416</v>
      </c>
      <c r="Q37" s="42">
        <f t="shared" si="1"/>
        <v>234.11520000000002</v>
      </c>
      <c r="R37" s="42"/>
    </row>
    <row r="38" spans="1:18" ht="15.75" thickBot="1" x14ac:dyDescent="0.3">
      <c r="A38" s="1"/>
      <c r="B38" s="53">
        <f>ROW(B38) - ROW($B$9)</f>
        <v>29</v>
      </c>
      <c r="C38" s="37" t="s">
        <v>172</v>
      </c>
      <c r="D38" s="37" t="s">
        <v>38</v>
      </c>
      <c r="E38" s="38" t="s">
        <v>71</v>
      </c>
      <c r="F38" s="37" t="s">
        <v>96</v>
      </c>
      <c r="G38" s="38" t="s">
        <v>122</v>
      </c>
      <c r="H38" s="37" t="s">
        <v>141</v>
      </c>
      <c r="I38" s="37" t="s">
        <v>185</v>
      </c>
      <c r="J38" s="37" t="s">
        <v>229</v>
      </c>
      <c r="K38" s="38" t="s">
        <v>185</v>
      </c>
      <c r="L38" s="37">
        <v>1</v>
      </c>
      <c r="M38" s="37">
        <f t="shared" si="2"/>
        <v>20</v>
      </c>
      <c r="N38" s="37">
        <v>22</v>
      </c>
      <c r="O38" s="60" t="s">
        <v>187</v>
      </c>
      <c r="P38" s="37">
        <v>0.3337</v>
      </c>
      <c r="Q38" s="41">
        <f t="shared" si="1"/>
        <v>7.3414000000000001</v>
      </c>
      <c r="R38" s="41"/>
    </row>
    <row r="39" spans="1:18" ht="15.75" thickBot="1" x14ac:dyDescent="0.3">
      <c r="A39" s="1"/>
      <c r="B39" s="53">
        <f t="shared" si="0"/>
        <v>30</v>
      </c>
      <c r="C39" s="39" t="s">
        <v>172</v>
      </c>
      <c r="D39" s="39" t="s">
        <v>39</v>
      </c>
      <c r="E39" s="40" t="s">
        <v>72</v>
      </c>
      <c r="F39" s="39" t="s">
        <v>97</v>
      </c>
      <c r="G39" s="40" t="s">
        <v>123</v>
      </c>
      <c r="H39" s="39" t="s">
        <v>144</v>
      </c>
      <c r="I39" s="39" t="s">
        <v>185</v>
      </c>
      <c r="J39" s="39" t="s">
        <v>185</v>
      </c>
      <c r="K39" s="40" t="s">
        <v>185</v>
      </c>
      <c r="L39" s="39">
        <v>1</v>
      </c>
      <c r="M39" s="39">
        <f t="shared" si="2"/>
        <v>20</v>
      </c>
      <c r="N39" s="39">
        <v>22</v>
      </c>
      <c r="O39" s="61" t="s">
        <v>187</v>
      </c>
      <c r="P39" s="39">
        <v>1.06</v>
      </c>
      <c r="Q39" s="42">
        <f t="shared" si="1"/>
        <v>23.32</v>
      </c>
      <c r="R39" s="42"/>
    </row>
    <row r="40" spans="1:18" ht="15.75" thickBot="1" x14ac:dyDescent="0.3">
      <c r="A40" s="1"/>
      <c r="B40" s="53">
        <f>ROW(B40) - ROW($B$9)</f>
        <v>31</v>
      </c>
      <c r="C40" s="37" t="s">
        <v>172</v>
      </c>
      <c r="D40" s="37" t="s">
        <v>40</v>
      </c>
      <c r="E40" s="38" t="s">
        <v>73</v>
      </c>
      <c r="F40" s="37" t="s">
        <v>98</v>
      </c>
      <c r="G40" s="38" t="s">
        <v>124</v>
      </c>
      <c r="H40" s="37" t="s">
        <v>132</v>
      </c>
      <c r="I40" s="37" t="s">
        <v>185</v>
      </c>
      <c r="J40" s="37" t="s">
        <v>230</v>
      </c>
      <c r="K40" s="38" t="s">
        <v>185</v>
      </c>
      <c r="L40" s="37">
        <v>1</v>
      </c>
      <c r="M40" s="37">
        <f t="shared" si="2"/>
        <v>20</v>
      </c>
      <c r="N40" s="37">
        <v>22</v>
      </c>
      <c r="O40" s="60" t="s">
        <v>187</v>
      </c>
      <c r="P40" s="37">
        <v>0.77</v>
      </c>
      <c r="Q40" s="41">
        <f t="shared" si="1"/>
        <v>16.940000000000001</v>
      </c>
      <c r="R40" s="41"/>
    </row>
    <row r="41" spans="1:18" ht="15.75" thickBot="1" x14ac:dyDescent="0.3">
      <c r="A41" s="1"/>
      <c r="B41" s="53">
        <f t="shared" si="0"/>
        <v>32</v>
      </c>
      <c r="C41" s="39" t="s">
        <v>173</v>
      </c>
      <c r="D41" s="39" t="s">
        <v>41</v>
      </c>
      <c r="E41" s="40" t="s">
        <v>74</v>
      </c>
      <c r="F41" s="39" t="s">
        <v>174</v>
      </c>
      <c r="G41" s="40" t="s">
        <v>99</v>
      </c>
      <c r="H41" s="39" t="s">
        <v>145</v>
      </c>
      <c r="I41" s="39" t="s">
        <v>185</v>
      </c>
      <c r="J41" s="39" t="s">
        <v>185</v>
      </c>
      <c r="K41" s="40" t="s">
        <v>161</v>
      </c>
      <c r="L41" s="39">
        <v>1</v>
      </c>
      <c r="M41" s="39">
        <f t="shared" si="2"/>
        <v>20</v>
      </c>
      <c r="N41" s="39">
        <v>22</v>
      </c>
      <c r="O41" s="61" t="s">
        <v>187</v>
      </c>
      <c r="P41" s="39">
        <v>0.499</v>
      </c>
      <c r="Q41" s="42">
        <f t="shared" si="1"/>
        <v>10.978</v>
      </c>
      <c r="R41" s="42"/>
    </row>
    <row r="42" spans="1:18" ht="15.75" thickBot="1" x14ac:dyDescent="0.3">
      <c r="A42" s="1"/>
      <c r="B42" s="53">
        <f>ROW(B42) - ROW($B$9)</f>
        <v>33</v>
      </c>
      <c r="C42" s="37" t="s">
        <v>173</v>
      </c>
      <c r="D42" s="37" t="s">
        <v>42</v>
      </c>
      <c r="E42" s="38" t="s">
        <v>75</v>
      </c>
      <c r="F42" s="37" t="s">
        <v>174</v>
      </c>
      <c r="G42" s="38" t="s">
        <v>100</v>
      </c>
      <c r="H42" s="37" t="s">
        <v>146</v>
      </c>
      <c r="I42" s="37" t="s">
        <v>185</v>
      </c>
      <c r="J42" s="58" t="s">
        <v>185</v>
      </c>
      <c r="K42" s="38" t="s">
        <v>231</v>
      </c>
      <c r="L42" s="37">
        <v>1</v>
      </c>
      <c r="M42" s="37">
        <f t="shared" si="2"/>
        <v>20</v>
      </c>
      <c r="N42" s="37">
        <v>22</v>
      </c>
      <c r="O42" s="60" t="s">
        <v>203</v>
      </c>
      <c r="P42" s="37">
        <v>0.69</v>
      </c>
      <c r="Q42" s="41">
        <f t="shared" si="1"/>
        <v>15.18</v>
      </c>
      <c r="R42" s="41"/>
    </row>
    <row r="43" spans="1:18" x14ac:dyDescent="0.2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70" t="s">
        <v>232</v>
      </c>
      <c r="P43" s="71"/>
      <c r="Q43" s="70">
        <f>SUM(Q10:Q42)</f>
        <v>795.37520000000006</v>
      </c>
      <c r="R43" s="44"/>
    </row>
    <row r="44" spans="1:18" ht="15.75" thickBot="1" x14ac:dyDescent="0.3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72" t="s">
        <v>233</v>
      </c>
      <c r="P44" s="73"/>
      <c r="Q44" s="72">
        <f>Q43/20</f>
        <v>39.76876</v>
      </c>
      <c r="R4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</hyperlinks>
  <pageMargins left="0.7" right="0.7" top="0.75" bottom="0.75" header="0.3" footer="0.3"/>
  <pageSetup paperSize="9" orientation="portrait" r:id="rId33"/>
  <drawing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2022-08-24T16:37:06Z</dcterms:modified>
</cp:coreProperties>
</file>