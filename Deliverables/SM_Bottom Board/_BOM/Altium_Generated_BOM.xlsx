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2" i="1" l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 l="1"/>
  <c r="B10" i="1"/>
</calcChain>
</file>

<file path=xl/sharedStrings.xml><?xml version="1.0" encoding="utf-8"?>
<sst xmlns="http://schemas.openxmlformats.org/spreadsheetml/2006/main" count="218" uniqueCount="170">
  <si>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</si>
  <si>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</si>
  <si>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</si>
  <si>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</si>
  <si>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</si>
  <si>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</si>
  <si>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</si>
  <si>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[SM_Bottom_Board.PrjPcb] (PCB Document : SM_Bottom_PCB.PcbDoc)</t>
  </si>
  <si>
    <t>SM_Bottom_Board.PrjPcb</t>
  </si>
  <si>
    <t>None</t>
  </si>
  <si>
    <t>#Column Name Error:' Item Type</t>
  </si>
  <si>
    <t>Designator</t>
  </si>
  <si>
    <t>C1</t>
  </si>
  <si>
    <t>C2, C3, C4, C5, C6, C7, C8, C9, C10, C11, C15, C32, C33, C34, C35, C36, C37, C50</t>
  </si>
  <si>
    <t>C12</t>
  </si>
  <si>
    <t>C13, C14</t>
  </si>
  <si>
    <t>C16, C17</t>
  </si>
  <si>
    <t>C18, C19</t>
  </si>
  <si>
    <t>CF1</t>
  </si>
  <si>
    <t>D1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</si>
  <si>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</si>
  <si>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</si>
  <si>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</si>
  <si>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</si>
  <si>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</si>
  <si>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</si>
  <si>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</si>
  <si>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</si>
  <si>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</si>
  <si>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</si>
  <si>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</si>
  <si>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R6, Rx3</t>
  </si>
  <si>
    <t>R7, R8</t>
  </si>
  <si>
    <t>Rx1, Rx2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</si>
  <si>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</si>
  <si>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</si>
  <si>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</si>
  <si>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</si>
  <si>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</si>
  <si>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</si>
  <si>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</si>
  <si>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</si>
  <si>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</si>
  <si>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</si>
  <si>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</si>
  <si>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</si>
  <si>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</si>
  <si>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</si>
  <si>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10% 16V 1206</t>
  </si>
  <si>
    <t>CAP, 2.2µF, 35V, 10%, X5R, 0603</t>
  </si>
  <si>
    <t>CAP 30pF NP0 0603 50 V ±5 % SMD</t>
  </si>
  <si>
    <t>CAP CER 10PF 25V C0G 0201</t>
  </si>
  <si>
    <t>TVS DIODE 24VWM 41VC TO236AB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</si>
  <si>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</si>
  <si>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</si>
  <si>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</si>
  <si>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</si>
  <si>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</si>
  <si>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</si>
  <si>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</si>
  <si>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</si>
  <si>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</si>
  <si>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</si>
  <si>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</si>
  <si>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1%,, RES SMD 470 OHM 50 V, 0603 100 mW,  1%, RC Series</t>
  </si>
  <si>
    <t>RES SMD 57.6 OHM 1% 1/10W 0603</t>
  </si>
  <si>
    <t>RES SMD 100 OHM 1% 1/10W 0603</t>
  </si>
  <si>
    <t>Solder Bridge ON</t>
  </si>
  <si>
    <t>No NO J pin 50mA 3mm 100MΩ 100000 12V 250gf@±30gf 2.6mm -30℃~+85℃ 0.65mm Black Round Button Brick nogging SPST SMD Tactile Switches ROHS</t>
  </si>
  <si>
    <t>IC MCU 32BIT 512KB FLASH 100LQFP</t>
  </si>
  <si>
    <t>IC TRANSCEIVER HALF 1/1 8SOIC</t>
  </si>
  <si>
    <t>SENSOR ANGLE 360DEG SMD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</si>
  <si>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</si>
  <si>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</si>
  <si>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</si>
  <si>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</si>
  <si>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</si>
  <si>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</si>
  <si>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</si>
  <si>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</si>
  <si>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CAP-CASE A</t>
  </si>
  <si>
    <t>Cap 0603</t>
  </si>
  <si>
    <t>CAP 0201</t>
  </si>
  <si>
    <t>SOT-23</t>
  </si>
  <si>
    <t>SOD-923</t>
  </si>
  <si>
    <t>MPZ1608S121ATDH5</t>
  </si>
  <si>
    <t>M55-6012642R</t>
  </si>
  <si>
    <t>IND 0603</t>
  </si>
  <si>
    <t>LED 0402</t>
  </si>
  <si>
    <t>SMC-1-05-1-GT</t>
  </si>
  <si>
    <t>Res-0201</t>
  </si>
  <si>
    <t>Res0603</t>
  </si>
  <si>
    <t>Solder Bridge</t>
  </si>
  <si>
    <t>GT-TC025D-H0065-L1</t>
  </si>
  <si>
    <t>LQFP-100</t>
  </si>
  <si>
    <t>SOIC-8</t>
  </si>
  <si>
    <t>PG-DSO-8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</si>
  <si>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</si>
  <si>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</si>
  <si>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</si>
  <si>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</si>
  <si>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</si>
  <si>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</si>
  <si>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</si>
  <si>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</si>
  <si>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</si>
  <si>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TAJA105K016RNJ</t>
  </si>
  <si>
    <t>GRM188R6YA225KA12D</t>
  </si>
  <si>
    <t>CC0603JRNPO9BN300</t>
  </si>
  <si>
    <t>CGA1A2C0G1E100D030BA</t>
  </si>
  <si>
    <t>PESD2CAN,215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</si>
  <si>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</si>
  <si>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</si>
  <si>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</si>
  <si>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</si>
  <si>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</si>
  <si>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</si>
  <si>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</si>
  <si>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</si>
  <si>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</si>
  <si>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</si>
  <si>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RC0603FR-07100RL</t>
  </si>
  <si>
    <t>STM32F407VET6</t>
  </si>
  <si>
    <t>SN65HVDA1040AQDRQ1</t>
  </si>
  <si>
    <t>TLE5012BE1000</t>
  </si>
  <si>
    <t>ICM-20649</t>
  </si>
  <si>
    <t>SN74LV1T34DBVR</t>
  </si>
  <si>
    <t>MCP9805-BE/ST</t>
  </si>
  <si>
    <t>CAT24C32HU4I-GT3</t>
  </si>
  <si>
    <t>#Column Name Error:' Alternate Part Number</t>
  </si>
  <si>
    <t>Manufacturer</t>
  </si>
  <si>
    <t>Samsung</t>
  </si>
  <si>
    <t>Kyocera AVX</t>
  </si>
  <si>
    <t>Murata</t>
  </si>
  <si>
    <t>Yageo</t>
  </si>
  <si>
    <t>TDK</t>
  </si>
  <si>
    <t>Nexperia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</si>
  <si>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</si>
  <si>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</si>
  <si>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</si>
  <si>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</si>
  <si>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</si>
  <si>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</si>
  <si>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</si>
  <si>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G-Switch</t>
  </si>
  <si>
    <t>STMicroelectronics</t>
  </si>
  <si>
    <t>Texas Instruments</t>
  </si>
  <si>
    <t>Infineon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</si>
  <si>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</si>
  <si>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</si>
  <si>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</si>
  <si>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</si>
  <si>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</si>
  <si>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</si>
  <si>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</si>
  <si>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</si>
  <si>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</si>
  <si>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</si>
  <si>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</si>
  <si>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</si>
  <si>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</si>
  <si>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</si>
  <si>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</si>
  <si>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</si>
  <si>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</si>
  <si>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100R</t>
  </si>
  <si>
    <t>20MHz</t>
  </si>
  <si>
    <t>Quantity</t>
  </si>
  <si>
    <t>#Column Name Error:' Quantity (5 Boards)</t>
  </si>
  <si>
    <t>#Column Name Error:'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</si>
</sst>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2" fillId="5" borderId="20" xfId="0" applyFont="1" applyFill="1" applyBorder="1" applyAlignment="1">
      <alignment horizontal="center" vertical="center" wrapText="1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4"/>
  <sheetViews>
    <sheetView tabSelected="1" workbookViewId="0">
      <selection activeCell="F27" sqref="F2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7.85546875" bestFit="1" customWidth="1"/>
    <col min="11" max="11" width="16.7109375" bestFit="1" customWidth="1"/>
    <col min="12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55"/>
      <c r="K1" s="55"/>
      <c r="L1" s="55"/>
      <c r="M1" s="55"/>
    </row>
    <row r="2" spans="1:13" ht="32.25" thickBot="1" x14ac:dyDescent="0.3">
      <c r="A2" s="1"/>
      <c r="B2" s="20"/>
      <c r="C2" s="46"/>
      <c r="D2" s="10" t="s">
        <v>0</v>
      </c>
      <c r="E2" s="10"/>
      <c r="F2" s="58" t="s">
        <v>7</v>
      </c>
      <c r="G2" s="11"/>
      <c r="H2" s="11"/>
      <c r="I2" s="3"/>
      <c r="J2" s="3"/>
      <c r="K2" s="3"/>
      <c r="L2" s="3"/>
      <c r="M2" s="43"/>
    </row>
    <row r="3" spans="1:13" x14ac:dyDescent="0.25">
      <c r="A3" s="1"/>
      <c r="B3" s="21"/>
      <c r="C3" s="47"/>
      <c r="D3" s="12" t="s">
        <v>1</v>
      </c>
      <c r="E3" s="12"/>
      <c r="F3" s="59" t="s">
        <v>8</v>
      </c>
      <c r="G3" s="12"/>
      <c r="H3" s="12"/>
      <c r="I3" s="4"/>
      <c r="J3" s="4"/>
      <c r="K3" s="4"/>
      <c r="L3" s="4"/>
      <c r="M3" s="56"/>
    </row>
    <row r="4" spans="1:13" x14ac:dyDescent="0.25">
      <c r="A4" s="1"/>
      <c r="B4" s="21"/>
      <c r="C4" s="47"/>
      <c r="D4" s="12" t="s">
        <v>2</v>
      </c>
      <c r="E4" s="12"/>
      <c r="F4" s="60" t="s">
        <v>8</v>
      </c>
      <c r="G4" s="13"/>
      <c r="H4" s="13"/>
      <c r="I4" s="6"/>
      <c r="J4" s="6"/>
      <c r="K4" s="6"/>
      <c r="L4" s="6"/>
      <c r="M4" s="57"/>
    </row>
    <row r="5" spans="1:13" x14ac:dyDescent="0.25">
      <c r="A5" s="1"/>
      <c r="B5" s="21"/>
      <c r="C5" s="47"/>
      <c r="D5" s="12" t="s">
        <v>3</v>
      </c>
      <c r="E5" s="12"/>
      <c r="F5" s="61" t="s">
        <v>9</v>
      </c>
      <c r="G5" s="14"/>
      <c r="H5" s="14"/>
      <c r="I5" s="5"/>
      <c r="J5" s="5"/>
      <c r="K5" s="5"/>
      <c r="L5" s="5"/>
      <c r="M5" s="57"/>
    </row>
    <row r="6" spans="1:13" x14ac:dyDescent="0.25">
      <c r="A6" s="1"/>
      <c r="B6" s="22"/>
      <c r="C6" s="48"/>
      <c r="D6" s="15"/>
      <c r="E6" s="15"/>
      <c r="F6" s="16"/>
      <c r="G6" s="14"/>
      <c r="H6" s="14"/>
      <c r="I6" s="5"/>
      <c r="J6" s="5"/>
      <c r="K6" s="5"/>
      <c r="L6" s="5"/>
      <c r="M6" s="57"/>
    </row>
    <row r="7" spans="1:13" x14ac:dyDescent="0.25">
      <c r="A7" s="1"/>
      <c r="B7" s="23"/>
      <c r="C7" s="49"/>
      <c r="D7" s="17"/>
      <c r="E7" s="17"/>
      <c r="F7" s="18"/>
      <c r="G7" s="17"/>
      <c r="H7" s="17"/>
      <c r="I7" s="7"/>
      <c r="J7" s="7"/>
      <c r="K7" s="7"/>
      <c r="L7" s="7"/>
      <c r="M7" s="57"/>
    </row>
    <row r="8" spans="1:13" ht="15.75" thickBot="1" x14ac:dyDescent="0.3">
      <c r="A8" s="1"/>
      <c r="B8" s="26"/>
      <c r="C8" s="50"/>
      <c r="D8" s="27"/>
      <c r="E8" s="27"/>
      <c r="F8" s="28"/>
      <c r="G8" s="17"/>
      <c r="H8" s="17"/>
      <c r="I8" s="7"/>
      <c r="J8" s="7"/>
      <c r="K8" s="7"/>
      <c r="L8" s="7"/>
      <c r="M8" s="57"/>
    </row>
    <row r="9" spans="1:13" ht="15.75" thickBot="1" x14ac:dyDescent="0.3">
      <c r="A9" s="1"/>
      <c r="B9" s="29" t="s">
        <v>4</v>
      </c>
      <c r="C9" s="29" t="s">
        <v>10</v>
      </c>
      <c r="D9" s="29" t="s">
        <v>11</v>
      </c>
      <c r="E9" s="30" t="s">
        <v>45</v>
      </c>
      <c r="F9" s="29" t="s">
        <v>78</v>
      </c>
      <c r="G9" s="30" t="s">
        <v>103</v>
      </c>
      <c r="H9" s="29" t="s">
        <v>129</v>
      </c>
      <c r="I9" s="29" t="s">
        <v>130</v>
      </c>
      <c r="J9" s="30" t="s">
        <v>152</v>
      </c>
      <c r="K9" s="29" t="s">
        <v>167</v>
      </c>
      <c r="L9" s="29" t="s">
        <v>168</v>
      </c>
      <c r="M9" s="31" t="s">
        <v>169</v>
      </c>
    </row>
    <row r="10" spans="1:13" ht="15.75" thickBot="1" x14ac:dyDescent="0.3">
      <c r="A10" s="1"/>
      <c r="B10" s="54">
        <f>ROW(B10) - ROW($B$9)</f>
        <v>1</v>
      </c>
      <c r="C10" s="51"/>
      <c r="D10" s="37" t="s">
        <v>12</v>
      </c>
      <c r="E10" s="38" t="s">
        <v>46</v>
      </c>
      <c r="F10" s="37" t="s">
        <v>79</v>
      </c>
      <c r="G10" s="38" t="s">
        <v>104</v>
      </c>
      <c r="H10" s="37"/>
      <c r="I10" s="37" t="s">
        <v>131</v>
      </c>
      <c r="J10" s="38" t="s">
        <v>153</v>
      </c>
      <c r="K10" s="37">
        <v>1</v>
      </c>
      <c r="L10" s="37"/>
      <c r="M10" s="41"/>
    </row>
    <row r="11" spans="1:13" ht="24.75" thickBot="1" x14ac:dyDescent="0.3">
      <c r="A11" s="1"/>
      <c r="B11" s="54">
        <f t="shared" ref="B11:B42" si="0">ROW(B11) - ROW($B$9)</f>
        <v>2</v>
      </c>
      <c r="C11" s="51"/>
      <c r="D11" s="39" t="s">
        <v>13</v>
      </c>
      <c r="E11" s="40" t="s">
        <v>47</v>
      </c>
      <c r="F11" s="39" t="s">
        <v>79</v>
      </c>
      <c r="G11" s="40" t="s">
        <v>105</v>
      </c>
      <c r="H11" s="39"/>
      <c r="I11" s="39" t="s">
        <v>131</v>
      </c>
      <c r="J11" s="40" t="s">
        <v>154</v>
      </c>
      <c r="K11" s="39">
        <v>18</v>
      </c>
      <c r="L11" s="39"/>
      <c r="M11" s="42"/>
    </row>
    <row r="12" spans="1:13" ht="15.75" thickBot="1" x14ac:dyDescent="0.3">
      <c r="A12" s="1"/>
      <c r="B12" s="54">
        <f>ROW(B12) - ROW($B$9)</f>
        <v>3</v>
      </c>
      <c r="C12" s="51"/>
      <c r="D12" s="37" t="s">
        <v>14</v>
      </c>
      <c r="E12" s="38" t="s">
        <v>48</v>
      </c>
      <c r="F12" s="37" t="s">
        <v>80</v>
      </c>
      <c r="G12" s="38" t="s">
        <v>106</v>
      </c>
      <c r="H12" s="37"/>
      <c r="I12" s="37" t="s">
        <v>132</v>
      </c>
      <c r="J12" s="38" t="s">
        <v>155</v>
      </c>
      <c r="K12" s="37">
        <v>1</v>
      </c>
      <c r="L12" s="37"/>
      <c r="M12" s="41"/>
    </row>
    <row r="13" spans="1:13" ht="15.75" thickBot="1" x14ac:dyDescent="0.3">
      <c r="A13" s="1"/>
      <c r="B13" s="54">
        <f t="shared" si="0"/>
        <v>4</v>
      </c>
      <c r="C13" s="51"/>
      <c r="D13" s="39" t="s">
        <v>15</v>
      </c>
      <c r="E13" s="40" t="s">
        <v>49</v>
      </c>
      <c r="F13" s="39" t="s">
        <v>81</v>
      </c>
      <c r="G13" s="40" t="s">
        <v>107</v>
      </c>
      <c r="H13" s="39"/>
      <c r="I13" s="39" t="s">
        <v>133</v>
      </c>
      <c r="J13" s="40" t="s">
        <v>156</v>
      </c>
      <c r="K13" s="39">
        <v>2</v>
      </c>
      <c r="L13" s="39"/>
      <c r="M13" s="42"/>
    </row>
    <row r="14" spans="1:13" ht="15.75" thickBot="1" x14ac:dyDescent="0.3">
      <c r="A14" s="1"/>
      <c r="B14" s="54">
        <f>ROW(B14) - ROW($B$9)</f>
        <v>5</v>
      </c>
      <c r="C14" s="51"/>
      <c r="D14" s="37" t="s">
        <v>16</v>
      </c>
      <c r="E14" s="38" t="s">
        <v>50</v>
      </c>
      <c r="F14" s="37" t="s">
        <v>81</v>
      </c>
      <c r="G14" s="38" t="s">
        <v>108</v>
      </c>
      <c r="H14" s="37"/>
      <c r="I14" s="37" t="s">
        <v>134</v>
      </c>
      <c r="J14" s="38" t="s">
        <v>157</v>
      </c>
      <c r="K14" s="37">
        <v>2</v>
      </c>
      <c r="L14" s="37"/>
      <c r="M14" s="41"/>
    </row>
    <row r="15" spans="1:13" ht="15.75" thickBot="1" x14ac:dyDescent="0.3">
      <c r="A15" s="1"/>
      <c r="B15" s="54">
        <f t="shared" si="0"/>
        <v>6</v>
      </c>
      <c r="C15" s="51"/>
      <c r="D15" s="39" t="s">
        <v>17</v>
      </c>
      <c r="E15" s="40" t="s">
        <v>51</v>
      </c>
      <c r="F15" s="39" t="s">
        <v>82</v>
      </c>
      <c r="G15" s="40" t="s">
        <v>109</v>
      </c>
      <c r="H15" s="39"/>
      <c r="I15" s="39" t="s">
        <v>135</v>
      </c>
      <c r="J15" s="40" t="s">
        <v>158</v>
      </c>
      <c r="K15" s="39">
        <v>2</v>
      </c>
      <c r="L15" s="39"/>
      <c r="M15" s="42"/>
    </row>
    <row r="16" spans="1:13" ht="24.75" thickBot="1" x14ac:dyDescent="0.3">
      <c r="A16" s="1"/>
      <c r="B16" s="54">
        <f>ROW(B16) - ROW($B$9)</f>
        <v>7</v>
      </c>
      <c r="C16" s="51"/>
      <c r="D16" s="37" t="s">
        <v>18</v>
      </c>
      <c r="E16" s="38" t="s">
        <v>47</v>
      </c>
      <c r="F16" s="37" t="s">
        <v>81</v>
      </c>
      <c r="G16" s="38" t="s">
        <v>105</v>
      </c>
      <c r="H16" s="37"/>
      <c r="I16" s="37" t="s">
        <v>131</v>
      </c>
      <c r="J16" s="38" t="s">
        <v>154</v>
      </c>
      <c r="K16" s="37">
        <v>1</v>
      </c>
      <c r="L16" s="37"/>
      <c r="M16" s="41"/>
    </row>
    <row r="17" spans="1:13" ht="15.75" thickBot="1" x14ac:dyDescent="0.3">
      <c r="A17" s="1"/>
      <c r="B17" s="54">
        <f t="shared" si="0"/>
        <v>8</v>
      </c>
      <c r="C17" s="51"/>
      <c r="D17" s="39" t="s">
        <v>19</v>
      </c>
      <c r="E17" s="40" t="s">
        <v>52</v>
      </c>
      <c r="F17" s="39" t="s">
        <v>83</v>
      </c>
      <c r="G17" s="40" t="s">
        <v>110</v>
      </c>
      <c r="H17" s="39"/>
      <c r="I17" s="39" t="s">
        <v>136</v>
      </c>
      <c r="J17" s="40" t="s">
        <v>110</v>
      </c>
      <c r="K17" s="39">
        <v>1</v>
      </c>
      <c r="L17" s="39"/>
      <c r="M17" s="42"/>
    </row>
    <row r="18" spans="1:13" ht="15.75" thickBot="1" x14ac:dyDescent="0.3">
      <c r="A18" s="1"/>
      <c r="B18" s="54">
        <f>ROW(B18) - ROW($B$9)</f>
        <v>9</v>
      </c>
      <c r="C18" s="51"/>
      <c r="D18" s="37" t="s">
        <v>20</v>
      </c>
      <c r="E18" s="38" t="s">
        <v>53</v>
      </c>
      <c r="F18" s="37" t="s">
        <v>84</v>
      </c>
      <c r="G18" s="38" t="s">
        <v>111</v>
      </c>
      <c r="H18" s="37"/>
      <c r="I18" s="37" t="s">
        <v>137</v>
      </c>
      <c r="J18" s="38" t="s">
        <v>111</v>
      </c>
      <c r="K18" s="37">
        <v>1</v>
      </c>
      <c r="L18" s="37"/>
      <c r="M18" s="41"/>
    </row>
    <row r="19" spans="1:13" ht="36.75" thickBot="1" x14ac:dyDescent="0.3">
      <c r="A19" s="1"/>
      <c r="B19" s="54">
        <f t="shared" si="0"/>
        <v>10</v>
      </c>
      <c r="C19" s="51"/>
      <c r="D19" s="39" t="s">
        <v>21</v>
      </c>
      <c r="E19" s="40" t="s">
        <v>54</v>
      </c>
      <c r="F19" s="39" t="s">
        <v>85</v>
      </c>
      <c r="G19" s="40" t="s">
        <v>85</v>
      </c>
      <c r="H19" s="39"/>
      <c r="I19" s="39" t="s">
        <v>135</v>
      </c>
      <c r="J19" s="40" t="s">
        <v>85</v>
      </c>
      <c r="K19" s="39">
        <v>4</v>
      </c>
      <c r="L19" s="39"/>
      <c r="M19" s="42"/>
    </row>
    <row r="20" spans="1:13" ht="15.75" thickBot="1" x14ac:dyDescent="0.3">
      <c r="A20" s="1"/>
      <c r="B20" s="54">
        <f>ROW(B20) - ROW($B$9)</f>
        <v>11</v>
      </c>
      <c r="C20" s="51"/>
      <c r="D20" s="37" t="s">
        <v>22</v>
      </c>
      <c r="E20" s="38" t="s">
        <v>55</v>
      </c>
      <c r="F20" s="37" t="s">
        <v>86</v>
      </c>
      <c r="G20" s="38" t="s">
        <v>86</v>
      </c>
      <c r="H20" s="37"/>
      <c r="I20" s="37" t="s">
        <v>138</v>
      </c>
      <c r="J20" s="38" t="s">
        <v>86</v>
      </c>
      <c r="K20" s="37">
        <v>1</v>
      </c>
      <c r="L20" s="37"/>
      <c r="M20" s="41"/>
    </row>
    <row r="21" spans="1:13" ht="36.75" thickBot="1" x14ac:dyDescent="0.3">
      <c r="A21" s="1"/>
      <c r="B21" s="54">
        <f t="shared" si="0"/>
        <v>12</v>
      </c>
      <c r="C21" s="51"/>
      <c r="D21" s="39" t="s">
        <v>23</v>
      </c>
      <c r="E21" s="40" t="s">
        <v>56</v>
      </c>
      <c r="F21" s="39" t="s">
        <v>87</v>
      </c>
      <c r="G21" s="40" t="s">
        <v>112</v>
      </c>
      <c r="H21" s="39"/>
      <c r="I21" s="39" t="s">
        <v>139</v>
      </c>
      <c r="J21" s="40" t="s">
        <v>112</v>
      </c>
      <c r="K21" s="39">
        <v>1</v>
      </c>
      <c r="L21" s="39"/>
      <c r="M21" s="42"/>
    </row>
    <row r="22" spans="1:13" ht="15.75" thickBot="1" x14ac:dyDescent="0.3">
      <c r="A22" s="1"/>
      <c r="B22" s="54">
        <f>ROW(B22) - ROW($B$9)</f>
        <v>13</v>
      </c>
      <c r="C22" s="51"/>
      <c r="D22" s="37" t="s">
        <v>24</v>
      </c>
      <c r="E22" s="38" t="s">
        <v>57</v>
      </c>
      <c r="F22" s="37" t="s">
        <v>88</v>
      </c>
      <c r="G22" s="38" t="s">
        <v>113</v>
      </c>
      <c r="H22" s="37"/>
      <c r="I22" s="37" t="s">
        <v>140</v>
      </c>
      <c r="J22" s="38" t="s">
        <v>113</v>
      </c>
      <c r="K22" s="37">
        <v>1</v>
      </c>
      <c r="L22" s="37"/>
      <c r="M22" s="41"/>
    </row>
    <row r="23" spans="1:13" ht="15.75" thickBot="1" x14ac:dyDescent="0.3">
      <c r="A23" s="1"/>
      <c r="B23" s="54">
        <f t="shared" si="0"/>
        <v>14</v>
      </c>
      <c r="C23" s="51"/>
      <c r="D23" s="39" t="s">
        <v>25</v>
      </c>
      <c r="E23" s="40" t="s">
        <v>58</v>
      </c>
      <c r="F23" s="39" t="s">
        <v>89</v>
      </c>
      <c r="G23" s="40" t="s">
        <v>89</v>
      </c>
      <c r="H23" s="39"/>
      <c r="I23" s="39" t="s">
        <v>141</v>
      </c>
      <c r="J23" s="40" t="s">
        <v>89</v>
      </c>
      <c r="K23" s="39">
        <v>1</v>
      </c>
      <c r="L23" s="39"/>
      <c r="M23" s="42"/>
    </row>
    <row r="24" spans="1:13" ht="15.75" thickBot="1" x14ac:dyDescent="0.3">
      <c r="A24" s="1"/>
      <c r="B24" s="54">
        <f>ROW(B24) - ROW($B$9)</f>
        <v>15</v>
      </c>
      <c r="C24" s="51"/>
      <c r="D24" s="37" t="s">
        <v>26</v>
      </c>
      <c r="E24" s="38" t="s">
        <v>59</v>
      </c>
      <c r="F24" s="37" t="s">
        <v>83</v>
      </c>
      <c r="G24" s="38" t="s">
        <v>114</v>
      </c>
      <c r="H24" s="37"/>
      <c r="I24" s="37" t="s">
        <v>142</v>
      </c>
      <c r="J24" s="38" t="s">
        <v>114</v>
      </c>
      <c r="K24" s="37">
        <v>2</v>
      </c>
      <c r="L24" s="37"/>
      <c r="M24" s="41"/>
    </row>
    <row r="25" spans="1:13" ht="60.75" thickBot="1" x14ac:dyDescent="0.3">
      <c r="A25" s="1"/>
      <c r="B25" s="54">
        <f t="shared" si="0"/>
        <v>16</v>
      </c>
      <c r="C25" s="51"/>
      <c r="D25" s="39" t="s">
        <v>27</v>
      </c>
      <c r="E25" s="40" t="s">
        <v>60</v>
      </c>
      <c r="F25" s="39" t="s">
        <v>90</v>
      </c>
      <c r="G25" s="40" t="s">
        <v>115</v>
      </c>
      <c r="H25" s="39"/>
      <c r="I25" s="39" t="s">
        <v>134</v>
      </c>
      <c r="J25" s="40" t="s">
        <v>159</v>
      </c>
      <c r="K25" s="39">
        <v>40</v>
      </c>
      <c r="L25" s="39"/>
      <c r="M25" s="42"/>
    </row>
    <row r="26" spans="1:13" ht="15.75" thickBot="1" x14ac:dyDescent="0.3">
      <c r="A26" s="1"/>
      <c r="B26" s="54">
        <f>ROW(B26) - ROW($B$9)</f>
        <v>17</v>
      </c>
      <c r="C26" s="51"/>
      <c r="D26" s="37" t="s">
        <v>28</v>
      </c>
      <c r="E26" s="38" t="s">
        <v>61</v>
      </c>
      <c r="F26" s="37" t="s">
        <v>91</v>
      </c>
      <c r="G26" s="38" t="s">
        <v>116</v>
      </c>
      <c r="H26" s="37"/>
      <c r="I26" s="37" t="s">
        <v>134</v>
      </c>
      <c r="J26" s="38" t="s">
        <v>160</v>
      </c>
      <c r="K26" s="37">
        <v>7</v>
      </c>
      <c r="L26" s="37"/>
      <c r="M26" s="41"/>
    </row>
    <row r="27" spans="1:13" ht="36.75" thickBot="1" x14ac:dyDescent="0.3">
      <c r="A27" s="1"/>
      <c r="B27" s="54">
        <f t="shared" si="0"/>
        <v>18</v>
      </c>
      <c r="C27" s="51"/>
      <c r="D27" s="39" t="s">
        <v>29</v>
      </c>
      <c r="E27" s="40" t="s">
        <v>62</v>
      </c>
      <c r="F27" s="39" t="s">
        <v>90</v>
      </c>
      <c r="G27" s="40" t="s">
        <v>117</v>
      </c>
      <c r="H27" s="39"/>
      <c r="I27" s="39" t="s">
        <v>143</v>
      </c>
      <c r="J27" s="40" t="s">
        <v>161</v>
      </c>
      <c r="K27" s="39">
        <v>1</v>
      </c>
      <c r="L27" s="39"/>
      <c r="M27" s="42"/>
    </row>
    <row r="28" spans="1:13" ht="24.75" thickBot="1" x14ac:dyDescent="0.3">
      <c r="A28" s="1"/>
      <c r="B28" s="54">
        <f>ROW(B28) - ROW($B$9)</f>
        <v>19</v>
      </c>
      <c r="C28" s="51"/>
      <c r="D28" s="37" t="s">
        <v>30</v>
      </c>
      <c r="E28" s="38" t="s">
        <v>63</v>
      </c>
      <c r="F28" s="37" t="s">
        <v>91</v>
      </c>
      <c r="G28" s="38" t="s">
        <v>118</v>
      </c>
      <c r="H28" s="37"/>
      <c r="I28" s="37" t="s">
        <v>134</v>
      </c>
      <c r="J28" s="38" t="s">
        <v>162</v>
      </c>
      <c r="K28" s="37">
        <v>2</v>
      </c>
      <c r="L28" s="37"/>
      <c r="M28" s="41"/>
    </row>
    <row r="29" spans="1:13" ht="36.75" thickBot="1" x14ac:dyDescent="0.3">
      <c r="A29" s="1"/>
      <c r="B29" s="54">
        <f t="shared" si="0"/>
        <v>20</v>
      </c>
      <c r="C29" s="51"/>
      <c r="D29" s="39" t="s">
        <v>31</v>
      </c>
      <c r="E29" s="40" t="s">
        <v>64</v>
      </c>
      <c r="F29" s="39" t="s">
        <v>91</v>
      </c>
      <c r="G29" s="40" t="s">
        <v>119</v>
      </c>
      <c r="H29" s="39"/>
      <c r="I29" s="39" t="s">
        <v>134</v>
      </c>
      <c r="J29" s="40" t="s">
        <v>163</v>
      </c>
      <c r="K29" s="39">
        <v>2</v>
      </c>
      <c r="L29" s="39"/>
      <c r="M29" s="42"/>
    </row>
    <row r="30" spans="1:13" ht="15.75" thickBot="1" x14ac:dyDescent="0.3">
      <c r="A30" s="1"/>
      <c r="B30" s="54">
        <f>ROW(B30) - ROW($B$9)</f>
        <v>21</v>
      </c>
      <c r="C30" s="51"/>
      <c r="D30" s="37" t="s">
        <v>32</v>
      </c>
      <c r="E30" s="38" t="s">
        <v>65</v>
      </c>
      <c r="F30" s="37" t="s">
        <v>91</v>
      </c>
      <c r="G30" s="38" t="s">
        <v>120</v>
      </c>
      <c r="H30" s="37"/>
      <c r="I30" s="37" t="s">
        <v>134</v>
      </c>
      <c r="J30" s="38" t="s">
        <v>164</v>
      </c>
      <c r="K30" s="37">
        <v>2</v>
      </c>
      <c r="L30" s="37"/>
      <c r="M30" s="41"/>
    </row>
    <row r="31" spans="1:13" ht="15.75" thickBot="1" x14ac:dyDescent="0.3">
      <c r="A31" s="1"/>
      <c r="B31" s="54">
        <f t="shared" si="0"/>
        <v>22</v>
      </c>
      <c r="C31" s="51"/>
      <c r="D31" s="39" t="s">
        <v>33</v>
      </c>
      <c r="E31" s="40" t="s">
        <v>66</v>
      </c>
      <c r="F31" s="39" t="s">
        <v>91</v>
      </c>
      <c r="G31" s="40" t="s">
        <v>121</v>
      </c>
      <c r="H31" s="39"/>
      <c r="I31" s="39" t="s">
        <v>134</v>
      </c>
      <c r="J31" s="40" t="s">
        <v>165</v>
      </c>
      <c r="K31" s="39">
        <v>2</v>
      </c>
      <c r="L31" s="39"/>
      <c r="M31" s="42"/>
    </row>
    <row r="32" spans="1:13" ht="15.75" thickBot="1" x14ac:dyDescent="0.3">
      <c r="A32" s="1"/>
      <c r="B32" s="54">
        <f>ROW(B32) - ROW($B$9)</f>
        <v>23</v>
      </c>
      <c r="C32" s="51"/>
      <c r="D32" s="37" t="s">
        <v>34</v>
      </c>
      <c r="E32" s="38" t="s">
        <v>67</v>
      </c>
      <c r="F32" s="37" t="s">
        <v>92</v>
      </c>
      <c r="G32" s="38"/>
      <c r="H32" s="37"/>
      <c r="I32" s="37"/>
      <c r="J32" s="38" t="s">
        <v>92</v>
      </c>
      <c r="K32" s="37">
        <v>8</v>
      </c>
      <c r="L32" s="37"/>
      <c r="M32" s="41"/>
    </row>
    <row r="33" spans="1:13" ht="60.75" thickBot="1" x14ac:dyDescent="0.3">
      <c r="A33" s="1"/>
      <c r="B33" s="54">
        <f t="shared" si="0"/>
        <v>24</v>
      </c>
      <c r="C33" s="51"/>
      <c r="D33" s="39" t="s">
        <v>35</v>
      </c>
      <c r="E33" s="40" t="s">
        <v>68</v>
      </c>
      <c r="F33" s="39" t="s">
        <v>93</v>
      </c>
      <c r="G33" s="40" t="s">
        <v>93</v>
      </c>
      <c r="H33" s="39"/>
      <c r="I33" s="39" t="s">
        <v>144</v>
      </c>
      <c r="J33" s="40" t="s">
        <v>93</v>
      </c>
      <c r="K33" s="39">
        <v>1</v>
      </c>
      <c r="L33" s="39"/>
      <c r="M33" s="42"/>
    </row>
    <row r="34" spans="1:13" ht="15.75" thickBot="1" x14ac:dyDescent="0.3">
      <c r="A34" s="1"/>
      <c r="B34" s="54">
        <f>ROW(B34) - ROW($B$9)</f>
        <v>25</v>
      </c>
      <c r="C34" s="51"/>
      <c r="D34" s="37" t="s">
        <v>36</v>
      </c>
      <c r="E34" s="38" t="s">
        <v>69</v>
      </c>
      <c r="F34" s="37" t="s">
        <v>94</v>
      </c>
      <c r="G34" s="38" t="s">
        <v>122</v>
      </c>
      <c r="H34" s="37"/>
      <c r="I34" s="37" t="s">
        <v>145</v>
      </c>
      <c r="J34" s="38" t="s">
        <v>122</v>
      </c>
      <c r="K34" s="37">
        <v>1</v>
      </c>
      <c r="L34" s="37"/>
      <c r="M34" s="41"/>
    </row>
    <row r="35" spans="1:13" ht="24.75" thickBot="1" x14ac:dyDescent="0.3">
      <c r="A35" s="1"/>
      <c r="B35" s="54">
        <f t="shared" si="0"/>
        <v>26</v>
      </c>
      <c r="C35" s="51"/>
      <c r="D35" s="39" t="s">
        <v>37</v>
      </c>
      <c r="E35" s="40" t="s">
        <v>70</v>
      </c>
      <c r="F35" s="39" t="s">
        <v>95</v>
      </c>
      <c r="G35" s="40" t="s">
        <v>123</v>
      </c>
      <c r="H35" s="39"/>
      <c r="I35" s="39" t="s">
        <v>146</v>
      </c>
      <c r="J35" s="40" t="s">
        <v>123</v>
      </c>
      <c r="K35" s="39">
        <v>1</v>
      </c>
      <c r="L35" s="39"/>
      <c r="M35" s="42"/>
    </row>
    <row r="36" spans="1:13" ht="15.75" thickBot="1" x14ac:dyDescent="0.3">
      <c r="A36" s="1"/>
      <c r="B36" s="54">
        <f>ROW(B36) - ROW($B$9)</f>
        <v>27</v>
      </c>
      <c r="C36" s="51"/>
      <c r="D36" s="37" t="s">
        <v>38</v>
      </c>
      <c r="E36" s="38" t="s">
        <v>71</v>
      </c>
      <c r="F36" s="37" t="s">
        <v>96</v>
      </c>
      <c r="G36" s="38" t="s">
        <v>124</v>
      </c>
      <c r="H36" s="37"/>
      <c r="I36" s="37" t="s">
        <v>147</v>
      </c>
      <c r="J36" s="38" t="s">
        <v>124</v>
      </c>
      <c r="K36" s="37">
        <v>1</v>
      </c>
      <c r="L36" s="37"/>
      <c r="M36" s="41"/>
    </row>
    <row r="37" spans="1:13" ht="15.75" thickBot="1" x14ac:dyDescent="0.3">
      <c r="A37" s="1"/>
      <c r="B37" s="54">
        <f t="shared" si="0"/>
        <v>28</v>
      </c>
      <c r="C37" s="51"/>
      <c r="D37" s="39" t="s">
        <v>39</v>
      </c>
      <c r="E37" s="40" t="s">
        <v>72</v>
      </c>
      <c r="F37" s="39" t="s">
        <v>97</v>
      </c>
      <c r="G37" s="40" t="s">
        <v>125</v>
      </c>
      <c r="H37" s="39"/>
      <c r="I37" s="39" t="s">
        <v>148</v>
      </c>
      <c r="J37" s="40" t="s">
        <v>125</v>
      </c>
      <c r="K37" s="39">
        <v>1</v>
      </c>
      <c r="L37" s="39"/>
      <c r="M37" s="42"/>
    </row>
    <row r="38" spans="1:13" ht="15.75" thickBot="1" x14ac:dyDescent="0.3">
      <c r="A38" s="1"/>
      <c r="B38" s="54">
        <f>ROW(B38) - ROW($B$9)</f>
        <v>29</v>
      </c>
      <c r="C38" s="51"/>
      <c r="D38" s="37" t="s">
        <v>40</v>
      </c>
      <c r="E38" s="38" t="s">
        <v>73</v>
      </c>
      <c r="F38" s="37" t="s">
        <v>98</v>
      </c>
      <c r="G38" s="38" t="s">
        <v>126</v>
      </c>
      <c r="H38" s="37"/>
      <c r="I38" s="37" t="s">
        <v>146</v>
      </c>
      <c r="J38" s="38" t="s">
        <v>126</v>
      </c>
      <c r="K38" s="37">
        <v>1</v>
      </c>
      <c r="L38" s="37"/>
      <c r="M38" s="41"/>
    </row>
    <row r="39" spans="1:13" ht="15.75" thickBot="1" x14ac:dyDescent="0.3">
      <c r="A39" s="1"/>
      <c r="B39" s="54">
        <f t="shared" si="0"/>
        <v>30</v>
      </c>
      <c r="C39" s="51"/>
      <c r="D39" s="39" t="s">
        <v>41</v>
      </c>
      <c r="E39" s="40" t="s">
        <v>74</v>
      </c>
      <c r="F39" s="39" t="s">
        <v>99</v>
      </c>
      <c r="G39" s="40" t="s">
        <v>127</v>
      </c>
      <c r="H39" s="39"/>
      <c r="I39" s="39" t="s">
        <v>149</v>
      </c>
      <c r="J39" s="40" t="s">
        <v>127</v>
      </c>
      <c r="K39" s="39">
        <v>1</v>
      </c>
      <c r="L39" s="39"/>
      <c r="M39" s="42"/>
    </row>
    <row r="40" spans="1:13" ht="15.75" thickBot="1" x14ac:dyDescent="0.3">
      <c r="A40" s="1"/>
      <c r="B40" s="54">
        <f>ROW(B40) - ROW($B$9)</f>
        <v>31</v>
      </c>
      <c r="C40" s="51"/>
      <c r="D40" s="37" t="s">
        <v>42</v>
      </c>
      <c r="E40" s="38" t="s">
        <v>75</v>
      </c>
      <c r="F40" s="37" t="s">
        <v>100</v>
      </c>
      <c r="G40" s="38" t="s">
        <v>128</v>
      </c>
      <c r="H40" s="37"/>
      <c r="I40" s="37" t="s">
        <v>137</v>
      </c>
      <c r="J40" s="38" t="s">
        <v>128</v>
      </c>
      <c r="K40" s="37">
        <v>1</v>
      </c>
      <c r="L40" s="37"/>
      <c r="M40" s="41"/>
    </row>
    <row r="41" spans="1:13" ht="15.75" thickBot="1" x14ac:dyDescent="0.3">
      <c r="A41" s="1"/>
      <c r="B41" s="54">
        <f t="shared" si="0"/>
        <v>32</v>
      </c>
      <c r="C41" s="51"/>
      <c r="D41" s="39" t="s">
        <v>43</v>
      </c>
      <c r="E41" s="40" t="s">
        <v>76</v>
      </c>
      <c r="F41" s="39" t="s">
        <v>101</v>
      </c>
      <c r="G41" s="40" t="s">
        <v>101</v>
      </c>
      <c r="H41" s="39"/>
      <c r="I41" s="39" t="s">
        <v>150</v>
      </c>
      <c r="J41" s="40" t="s">
        <v>166</v>
      </c>
      <c r="K41" s="39">
        <v>1</v>
      </c>
      <c r="L41" s="39"/>
      <c r="M41" s="42"/>
    </row>
    <row r="42" spans="1:13" ht="15.75" thickBot="1" x14ac:dyDescent="0.3">
      <c r="A42" s="1"/>
      <c r="B42" s="54">
        <f>ROW(B42) - ROW($B$9)</f>
        <v>33</v>
      </c>
      <c r="C42" s="51"/>
      <c r="D42" s="37" t="s">
        <v>44</v>
      </c>
      <c r="E42" s="38" t="s">
        <v>77</v>
      </c>
      <c r="F42" s="37" t="s">
        <v>102</v>
      </c>
      <c r="G42" s="38" t="s">
        <v>102</v>
      </c>
      <c r="H42" s="37"/>
      <c r="I42" s="37" t="s">
        <v>151</v>
      </c>
      <c r="J42" s="38" t="s">
        <v>102</v>
      </c>
      <c r="K42" s="37">
        <v>1</v>
      </c>
      <c r="L42" s="37"/>
      <c r="M42" s="41"/>
    </row>
    <row r="43" spans="1:13" x14ac:dyDescent="0.25">
      <c r="A43" s="1"/>
      <c r="B43" s="32"/>
      <c r="C43" s="52"/>
      <c r="D43" s="33" t="s">
        <v>5</v>
      </c>
      <c r="E43" s="34"/>
      <c r="F43" s="35"/>
      <c r="G43" s="36"/>
      <c r="H43" s="36"/>
      <c r="I43" s="35"/>
      <c r="J43" s="36"/>
      <c r="K43" s="36"/>
      <c r="L43" s="36"/>
      <c r="M43" s="44"/>
    </row>
    <row r="44" spans="1:13" ht="15.75" thickBot="1" x14ac:dyDescent="0.3">
      <c r="A44" s="1"/>
      <c r="B44" s="24"/>
      <c r="C44" s="53"/>
      <c r="D44" s="8" t="s">
        <v>6</v>
      </c>
      <c r="E44" s="9"/>
      <c r="F44" s="9"/>
      <c r="G44" s="9"/>
      <c r="H44" s="9"/>
      <c r="I44" s="9"/>
      <c r="J44" s="9"/>
      <c r="K44" s="9"/>
      <c r="L44" s="9"/>
      <c r="M44" s="45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2022-08-24T17:56:59Z</dcterms:modified>
</cp:coreProperties>
</file>