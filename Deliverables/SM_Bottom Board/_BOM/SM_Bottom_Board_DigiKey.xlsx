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DRA\Desktop\"/>
    </mc:Choice>
  </mc:AlternateContent>
  <bookViews>
    <workbookView xWindow="0" yWindow="0" windowWidth="24000" windowHeight="9435"/>
  </bookViews>
  <sheets>
    <sheet name="SM_Bottom_Board" sheetId="1" r:id="rId1"/>
  </sheets>
  <definedNames>
    <definedName name="_xlnm.Print_Titles" localSheetId="0">SM_Bottom_Board!#REF!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P34" i="1"/>
  <c r="P33" i="1"/>
  <c r="N34" i="1"/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" i="1"/>
  <c r="A4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" i="1"/>
</calcChain>
</file>

<file path=xl/sharedStrings.xml><?xml version="1.0" encoding="utf-8"?>
<sst xmlns="http://schemas.openxmlformats.org/spreadsheetml/2006/main" count="231" uniqueCount="184">
  <si>
    <t>Description</t>
  </si>
  <si>
    <t>Designator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</si>
  <si>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</si>
  <si>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</si>
  <si>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</si>
  <si>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</si>
  <si>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</si>
  <si>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</si>
  <si>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</si>
  <si>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Samsung</t>
  </si>
  <si>
    <t>0.1uF</t>
  </si>
  <si>
    <t>Cap Ceramic 0.1uF 50VDC X7R 10% SMD 0603 Paper T/R</t>
  </si>
  <si>
    <t>C2, C3, C4, C5, C6, C7, C8, C9, C10, C11, C15, C20, C32, C33, C34, C35, C36, C37, C50</t>
  </si>
  <si>
    <t>CL10B104KB8NNNC</t>
  </si>
  <si>
    <t>1uF</t>
  </si>
  <si>
    <t>CAP TANT 1UF 20% 25V 0603</t>
  </si>
  <si>
    <t>C12</t>
  </si>
  <si>
    <t>F981E105MMA</t>
  </si>
  <si>
    <t>Kyocera AVX</t>
  </si>
  <si>
    <t>2.2uF</t>
  </si>
  <si>
    <t>CAP, 2.2µF, 35V, 10%, X5R, 0603</t>
  </si>
  <si>
    <t>C13, C14</t>
  </si>
  <si>
    <t>Cap 0603</t>
  </si>
  <si>
    <t>GRM188R6YA225KA12D</t>
  </si>
  <si>
    <t>Murata</t>
  </si>
  <si>
    <t>10pF</t>
  </si>
  <si>
    <t>CAP CER 10PF 25V C0G 0201</t>
  </si>
  <si>
    <t>C16, C17, C18, C19</t>
  </si>
  <si>
    <t>CAP 0201</t>
  </si>
  <si>
    <t>CGA1A2C0G1E100D030BA</t>
  </si>
  <si>
    <t>TDK</t>
  </si>
  <si>
    <t>10uF'</t>
  </si>
  <si>
    <t>CAP CER 10UF 25V X5R 0603</t>
  </si>
  <si>
    <t>C31</t>
  </si>
  <si>
    <t>CL10A106MA8NRNC</t>
  </si>
  <si>
    <t>AZ6225-01F.R7GR</t>
  </si>
  <si>
    <t>Bidirectional 2.5V 3.5V 5V 20A (8/20us) DFN1006P2E TVS RoHS</t>
  </si>
  <si>
    <t>D1, D2</t>
  </si>
  <si>
    <t>AMAZING</t>
  </si>
  <si>
    <t>DFN1006P2E</t>
  </si>
  <si>
    <t>ESD9L5.0ST5G</t>
  </si>
  <si>
    <t>TVS DIODE 5V 9.8V SOD923</t>
  </si>
  <si>
    <t>D12</t>
  </si>
  <si>
    <t>SOD-923</t>
  </si>
  <si>
    <t>ON Semiconductor</t>
  </si>
  <si>
    <t>M55-6012042R</t>
  </si>
  <si>
    <t>CONN RCPT 1.27MM DUAL SMD 20POS</t>
  </si>
  <si>
    <t>J3</t>
  </si>
  <si>
    <t>Harwin</t>
  </si>
  <si>
    <t>FBMH1608HL121-TV</t>
  </si>
  <si>
    <t>Ferrite Beads 120Ohm 25% 100MHz 1.2A 0.13Ohm DCR 0603 Automotive T/R</t>
  </si>
  <si>
    <t>L1</t>
  </si>
  <si>
    <t>IND 0603</t>
  </si>
  <si>
    <t>Taiyo Yuden</t>
  </si>
  <si>
    <t>XZVG68W-2</t>
  </si>
  <si>
    <t>LED GREEN CLEAR CHIP SMD</t>
  </si>
  <si>
    <t>LED1</t>
  </si>
  <si>
    <t>LED 0402</t>
  </si>
  <si>
    <t>SunLED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</si>
  <si>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</si>
  <si>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</si>
  <si>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</si>
  <si>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</si>
  <si>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</si>
  <si>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</si>
  <si>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</si>
  <si>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</si>
  <si>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</si>
  <si>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100R</t>
  </si>
  <si>
    <t>RES SMD 100 OHM 1% 1/10W 0603</t>
  </si>
  <si>
    <t>R1</t>
  </si>
  <si>
    <t>Res0603</t>
  </si>
  <si>
    <t>RC0603FR-07100RL</t>
  </si>
  <si>
    <t>Yageo</t>
  </si>
  <si>
    <t>10K</t>
  </si>
  <si>
    <t>RES SMD 10K Ohm 1% 1/10W 0603</t>
  </si>
  <si>
    <t>R2, R27, RF1, RF2, RF3</t>
  </si>
  <si>
    <t>RC0603FR-0710KL</t>
  </si>
  <si>
    <t>806R</t>
  </si>
  <si>
    <t>Res Thick Film 0201 806 Ohm 1% 1/20W ±200ppm/°C Molded SMD SMD Paper T/R</t>
  </si>
  <si>
    <t>R3</t>
  </si>
  <si>
    <t>Res-0201</t>
  </si>
  <si>
    <t>RMCF0201FT806R</t>
  </si>
  <si>
    <t>Stackpole Electronics</t>
  </si>
  <si>
    <t>1K</t>
  </si>
  <si>
    <t>RES SMD 1K 0.1W 0603  75 V, Thick Film</t>
  </si>
  <si>
    <t>R4, R5</t>
  </si>
  <si>
    <t>RC0603JR-071KL</t>
  </si>
  <si>
    <t>470R</t>
  </si>
  <si>
    <t>RES SMD 470 OHM 50 V, 0603 100 mW,  1%,</t>
  </si>
  <si>
    <t>R6</t>
  </si>
  <si>
    <t>RC0603FR-07470RL</t>
  </si>
  <si>
    <t>46R6</t>
  </si>
  <si>
    <t>Res SMD 0603 46.4 Ohm 1% 1/10W</t>
  </si>
  <si>
    <t>R7, R8</t>
  </si>
  <si>
    <t>Panasonic</t>
  </si>
  <si>
    <t>ERJ-3EKF46R4V</t>
  </si>
  <si>
    <t>RES SMD 1K OHM 1% 1/20W 0201</t>
  </si>
  <si>
    <t>R9, R10</t>
  </si>
  <si>
    <t>RC0201FR-071KL</t>
  </si>
  <si>
    <t>B3U-1000P</t>
  </si>
  <si>
    <t>SWITCH TACTILE SPST-NO 0.05A 12V</t>
  </si>
  <si>
    <t>SW1</t>
  </si>
  <si>
    <t>Omron</t>
  </si>
  <si>
    <t>STM32F407VGT7TR</t>
  </si>
  <si>
    <t>IC MCU 32BIT 1MB FLASH 100LQFP</t>
  </si>
  <si>
    <t>U1</t>
  </si>
  <si>
    <t>LQFP-100</t>
  </si>
  <si>
    <t>STMicroelectronics</t>
  </si>
  <si>
    <t>SN65HVDA1040BQDRQ1</t>
  </si>
  <si>
    <t>IC TRANSCEIVER 1/1 8SOIC</t>
  </si>
  <si>
    <t>U2</t>
  </si>
  <si>
    <t>SOIC-8</t>
  </si>
  <si>
    <t>Texas Instruments</t>
  </si>
  <si>
    <t>AEAT-8800-Q24</t>
  </si>
  <si>
    <t>ROTARY ENCODER MAGNETIC 4096PPR</t>
  </si>
  <si>
    <t>U3</t>
  </si>
  <si>
    <t>QFN-24</t>
  </si>
  <si>
    <t>Broadcom Avago</t>
  </si>
  <si>
    <t>ICM-20649</t>
  </si>
  <si>
    <t>WIDE-FULL SCALE RANGE 6-AXIS MEM</t>
  </si>
  <si>
    <t>U4</t>
  </si>
  <si>
    <t>24-QFN (3x3)</t>
  </si>
  <si>
    <t>TDK InvenSense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</si>
  <si>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</si>
  <si>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</si>
  <si>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</si>
  <si>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</si>
  <si>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</si>
  <si>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</si>
  <si>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U9</t>
  </si>
  <si>
    <t>8-TSSOP</t>
  </si>
  <si>
    <t>Microchip</t>
  </si>
  <si>
    <t>CAT24C32HU4I-GT3</t>
  </si>
  <si>
    <t>IC EEPROM 32KBIT I2C 1MHZ 8UDFN</t>
  </si>
  <si>
    <t>U10</t>
  </si>
  <si>
    <t>8-UDFN-EP (2x3)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</si>
  <si>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</si>
  <si>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</si>
  <si>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</si>
  <si>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</si>
  <si>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</si>
  <si>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</si>
  <si>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</si>
  <si>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</si>
  <si>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</si>
  <si>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</si>
  <si>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</si>
  <si>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</si>
  <si>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</si>
  <si>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</si>
  <si>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</si>
  <si>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</si>
  <si>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</si>
  <si>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</si>
  <si>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</si>
  <si>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</si>
  <si>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</si>
  <si>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</si>
  <si>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</si>
  <si>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>Digikey</t>
  </si>
  <si>
    <t>less stock</t>
  </si>
  <si>
    <t>Mouser</t>
  </si>
  <si>
    <t>CL10A475MA8NQNC</t>
  </si>
  <si>
    <t>CC0603ZRY5V9BB104</t>
  </si>
  <si>
    <t>GRM188R61E106KA73D</t>
  </si>
  <si>
    <t>Capacitor</t>
  </si>
  <si>
    <t>Diode</t>
  </si>
  <si>
    <t>inductor</t>
  </si>
  <si>
    <t>Mosfet</t>
  </si>
  <si>
    <t>Resistor</t>
  </si>
  <si>
    <t>Switch</t>
  </si>
  <si>
    <t>Crystal</t>
  </si>
  <si>
    <t>Ics</t>
  </si>
  <si>
    <t>Connectors</t>
  </si>
  <si>
    <t>LCSC</t>
  </si>
  <si>
    <t>out of stock everywhere</t>
  </si>
  <si>
    <t>Farnell</t>
  </si>
  <si>
    <t>BD Electronics</t>
  </si>
  <si>
    <t>Not anywhere else</t>
  </si>
  <si>
    <t>Winsource</t>
  </si>
  <si>
    <t xml:space="preserve">Total Component Cost </t>
  </si>
  <si>
    <t>Single Board Cost</t>
  </si>
  <si>
    <t xml:space="preserve">Quotation send to Supplier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</si>
</sst>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$&quot;#,##0.00"/>
    <numFmt numFmtId="165" formatCode="&quot;$&quot;#,##0.000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E3438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CC0000"/>
      <name val="Calibri"/>
      <family val="2"/>
      <scheme val="minor"/>
    </font>
    <font>
      <b/>
      <sz val="11"/>
      <color rgb="FF333333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2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0" fillId="0" borderId="1" xfId="0" quotePrefix="1" applyFont="1" applyBorder="1" applyAlignment="1">
      <alignment vertical="center"/>
    </xf>
    <xf numFmtId="0" fontId="0" fillId="0" borderId="1" xfId="0" quotePrefix="1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3" borderId="1" xfId="0" quotePrefix="1" applyFont="1" applyFill="1" applyBorder="1" applyAlignment="1">
      <alignment vertical="center"/>
    </xf>
    <xf numFmtId="0" fontId="0" fillId="3" borderId="1" xfId="0" quotePrefix="1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7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5" fontId="0" fillId="0" borderId="1" xfId="0" applyNumberFormat="1" applyFont="1" applyBorder="1" applyAlignment="1">
      <alignment horizontal="center" vertical="center"/>
    </xf>
    <xf numFmtId="0" fontId="4" fillId="0" borderId="1" xfId="1" applyFont="1" applyBorder="1" applyAlignment="1"/>
    <xf numFmtId="165" fontId="7" fillId="0" borderId="1" xfId="0" applyNumberFormat="1" applyFont="1" applyBorder="1" applyAlignment="1">
      <alignment horizontal="center" vertical="center"/>
    </xf>
    <xf numFmtId="0" fontId="0" fillId="3" borderId="1" xfId="0" applyFont="1" applyFill="1" applyBorder="1" applyAlignment="1">
      <alignment horizontal="center"/>
    </xf>
    <xf numFmtId="0" fontId="0" fillId="3" borderId="1" xfId="0" applyFont="1" applyFill="1" applyBorder="1" applyAlignment="1"/>
    <xf numFmtId="165" fontId="0" fillId="3" borderId="1" xfId="0" applyNumberFormat="1" applyFont="1" applyFill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0" fontId="0" fillId="0" borderId="9" xfId="0" quotePrefix="1" applyFont="1" applyBorder="1" applyAlignment="1">
      <alignment vertical="center"/>
    </xf>
    <xf numFmtId="0" fontId="0" fillId="0" borderId="9" xfId="0" quotePrefix="1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0" fillId="0" borderId="9" xfId="0" applyFont="1" applyBorder="1" applyAlignment="1">
      <alignment horizontal="center" vertical="center"/>
    </xf>
    <xf numFmtId="0" fontId="0" fillId="0" borderId="9" xfId="0" applyFont="1" applyBorder="1" applyAlignment="1">
      <alignment horizontal="center"/>
    </xf>
    <xf numFmtId="0" fontId="4" fillId="0" borderId="9" xfId="1" applyFont="1" applyBorder="1"/>
    <xf numFmtId="165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/>
    <xf numFmtId="0" fontId="0" fillId="0" borderId="12" xfId="0" applyFont="1" applyBorder="1" applyAlignment="1"/>
    <xf numFmtId="0" fontId="0" fillId="0" borderId="14" xfId="0" quotePrefix="1" applyFont="1" applyBorder="1" applyAlignment="1">
      <alignment vertical="center"/>
    </xf>
    <xf numFmtId="0" fontId="0" fillId="0" borderId="14" xfId="0" quotePrefix="1" applyFont="1" applyBorder="1" applyAlignment="1">
      <alignment horizontal="center" vertical="center"/>
    </xf>
    <xf numFmtId="0" fontId="6" fillId="0" borderId="14" xfId="0" applyFont="1" applyBorder="1" applyAlignment="1">
      <alignment horizontal="center"/>
    </xf>
    <xf numFmtId="0" fontId="0" fillId="0" borderId="14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/>
    </xf>
    <xf numFmtId="0" fontId="4" fillId="0" borderId="14" xfId="1" applyFont="1" applyBorder="1" applyAlignment="1"/>
    <xf numFmtId="165" fontId="0" fillId="0" borderId="14" xfId="0" applyNumberFormat="1" applyFont="1" applyBorder="1" applyAlignment="1">
      <alignment horizontal="center" vertical="center"/>
    </xf>
    <xf numFmtId="0" fontId="0" fillId="0" borderId="15" xfId="0" applyFont="1" applyBorder="1" applyAlignment="1"/>
    <xf numFmtId="0" fontId="4" fillId="0" borderId="9" xfId="1" applyFont="1" applyBorder="1" applyAlignment="1"/>
    <xf numFmtId="165" fontId="7" fillId="0" borderId="9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quotePrefix="1" applyFont="1" applyBorder="1" applyAlignment="1">
      <alignment vertical="center"/>
    </xf>
    <xf numFmtId="0" fontId="0" fillId="0" borderId="17" xfId="0" quotePrefix="1" applyFont="1" applyBorder="1" applyAlignment="1">
      <alignment horizontal="center" vertical="center"/>
    </xf>
    <xf numFmtId="0" fontId="0" fillId="0" borderId="17" xfId="0" applyFont="1" applyBorder="1" applyAlignment="1">
      <alignment horizontal="center"/>
    </xf>
    <xf numFmtId="0" fontId="0" fillId="0" borderId="17" xfId="0" applyFont="1" applyBorder="1" applyAlignment="1">
      <alignment horizontal="center" vertical="center"/>
    </xf>
    <xf numFmtId="0" fontId="4" fillId="0" borderId="17" xfId="1" applyFont="1" applyBorder="1" applyAlignment="1"/>
    <xf numFmtId="165" fontId="7" fillId="0" borderId="17" xfId="0" applyNumberFormat="1" applyFont="1" applyBorder="1" applyAlignment="1">
      <alignment horizontal="center" vertical="center"/>
    </xf>
    <xf numFmtId="165" fontId="0" fillId="0" borderId="17" xfId="0" applyNumberFormat="1" applyFont="1" applyBorder="1" applyAlignment="1">
      <alignment horizontal="center" vertical="center"/>
    </xf>
    <xf numFmtId="0" fontId="0" fillId="0" borderId="18" xfId="0" applyFont="1" applyBorder="1" applyAlignment="1"/>
    <xf numFmtId="165" fontId="5" fillId="0" borderId="9" xfId="0" applyNumberFormat="1" applyFont="1" applyBorder="1" applyAlignment="1">
      <alignment horizontal="center" vertical="center"/>
    </xf>
    <xf numFmtId="0" fontId="0" fillId="3" borderId="12" xfId="0" applyFont="1" applyFill="1" applyBorder="1" applyAlignment="1"/>
    <xf numFmtId="165" fontId="9" fillId="0" borderId="9" xfId="0" applyNumberFormat="1" applyFont="1" applyBorder="1" applyAlignment="1">
      <alignment horizontal="center" vertical="center"/>
    </xf>
    <xf numFmtId="0" fontId="0" fillId="0" borderId="15" xfId="0" applyFont="1" applyBorder="1"/>
    <xf numFmtId="0" fontId="3" fillId="0" borderId="5" xfId="0" applyFont="1" applyBorder="1" applyAlignment="1">
      <alignment horizontal="center" vertical="center"/>
    </xf>
    <xf numFmtId="0" fontId="10" fillId="4" borderId="6" xfId="0" applyFont="1" applyFill="1" applyBorder="1" applyAlignment="1">
      <alignment horizontal="center" wrapText="1"/>
    </xf>
    <xf numFmtId="0" fontId="10" fillId="4" borderId="0" xfId="0" applyFont="1" applyFill="1" applyBorder="1" applyAlignment="1">
      <alignment horizontal="center" wrapText="1"/>
    </xf>
    <xf numFmtId="0" fontId="3" fillId="0" borderId="8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tackpole-electronics-inc/RMCF0201FT806R/1715039?s=N4IgTCBcDaIEoFkDCAxADGNBGFAVAHGgGxwgC6AvkA" TargetMode="External"/><Relationship Id="rId13" Type="http://schemas.openxmlformats.org/officeDocument/2006/relationships/hyperlink" Target="https://www.digikey.com/en/products/detail/omron-electronics-inc-emc-div/B3U-1000P/1534338" TargetMode="External"/><Relationship Id="rId18" Type="http://schemas.openxmlformats.org/officeDocument/2006/relationships/hyperlink" Target="https://www.digikey.com/en/products/detail/on-semiconductor/CAT24C32HU4I-GT3/2626505?s=N4IgTCBcDaIMIEEAqYAscDMYASBVVAkgLQDiSGIAugL5A" TargetMode="External"/><Relationship Id="rId26" Type="http://schemas.openxmlformats.org/officeDocument/2006/relationships/hyperlink" Target="https://lcsc.com/product-detail/TVS_AMAZING-AZ6225-01F-R7GR_C385879.html" TargetMode="External"/><Relationship Id="rId3" Type="http://schemas.openxmlformats.org/officeDocument/2006/relationships/hyperlink" Target="https://www.digikey.com/en/products/detail/on-semiconductor/ESD9L5-0ST5G/1693175" TargetMode="External"/><Relationship Id="rId21" Type="http://schemas.openxmlformats.org/officeDocument/2006/relationships/hyperlink" Target="https://eu.mouser.com/ProductDetail/Taiyo-Yuden/FBMH1608HL121-TV?qs=%2Fha2pyFadui0a6w4zBRQAiWCbsvhQzzw26a9dtlxleb6F%252BxmYMYYNA%3D%3D" TargetMode="External"/><Relationship Id="rId7" Type="http://schemas.openxmlformats.org/officeDocument/2006/relationships/hyperlink" Target="https://www.digikey.com/en/products/detail/yageo/RC0603FR-0710KL/726880?s=N4IgTCBcDaIEoGEAMA2JBmAYnAtEg7AIxIDSAMiALoC%2BQA" TargetMode="External"/><Relationship Id="rId12" Type="http://schemas.openxmlformats.org/officeDocument/2006/relationships/hyperlink" Target="https://www.digikey.com/en/products/detail/yageo/RC0201FR-071KL/3202389?s=N4IgTCBcDaIEoGEAMYkEYBicC0SDsaA0gDIgC6AvkA" TargetMode="External"/><Relationship Id="rId17" Type="http://schemas.openxmlformats.org/officeDocument/2006/relationships/hyperlink" Target="https://www.digikey.com/en/products/detail/microchip-technology/MCP9805-BE-ST/957575?s=N4IgTCBcDaILIGEAKBOAHABgKwFoBCAogPQDKAKiALoC%2BQA" TargetMode="External"/><Relationship Id="rId25" Type="http://schemas.openxmlformats.org/officeDocument/2006/relationships/hyperlink" Target="https://www.digikey.com/en/products/detail/murata-electronics/GRM188R61E106KA73D/9867922" TargetMode="External"/><Relationship Id="rId2" Type="http://schemas.openxmlformats.org/officeDocument/2006/relationships/hyperlink" Target="https://www.digikey.com/en/products/detail/tdk-corporation/CGA1A2C0G1E100D030BA/3648608?s=N4IgTCBcDaIMIHECCBGJY4AYEoKIs0wBFMBmTAISRAF0BfIA" TargetMode="External"/><Relationship Id="rId16" Type="http://schemas.openxmlformats.org/officeDocument/2006/relationships/hyperlink" Target="https://www.digikey.com/en/products/detail/texas-instruments/SN74LV1T34DBVR/4555575" TargetMode="External"/><Relationship Id="rId20" Type="http://schemas.openxmlformats.org/officeDocument/2006/relationships/hyperlink" Target="https://eu.mouser.com/ProductDetail/Broadcom-Avago/AEAT-8800-Q24?qs=5aG0NVq1C4zhePduVvjcvw%3D%3D" TargetMode="External"/><Relationship Id="rId29" Type="http://schemas.openxmlformats.org/officeDocument/2006/relationships/hyperlink" Target="https://www.win-source.net/tdk-corporation-icm-20649.html" TargetMode="External"/><Relationship Id="rId1" Type="http://schemas.openxmlformats.org/officeDocument/2006/relationships/hyperlink" Target="https://www.digikey.com/en/products/detail/avx-corporation/F981E105MMA/4005086?s=N4IgTCBcDaIGIE4AcBGAoigDAVgLK4EEQBdAXyA" TargetMode="External"/><Relationship Id="rId6" Type="http://schemas.openxmlformats.org/officeDocument/2006/relationships/hyperlink" Target="https://www.digikey.com/en/products/detail/yageo/RC0603FR-07100RL/726888?s=N4IgTCBcDaIEoGEAMA2JBmAYnAtEg7AIxJJwAyIAugL5A" TargetMode="External"/><Relationship Id="rId11" Type="http://schemas.openxmlformats.org/officeDocument/2006/relationships/hyperlink" Target="https://www.digikey.com/en/products/detail/panasonic-electronic-components/ERJ-3EKF46R4V/196366?s=N4IgTCBcDaIKICUBSBaAzHA0gMQCwDYFcA1EAXQF8g" TargetMode="External"/><Relationship Id="rId24" Type="http://schemas.openxmlformats.org/officeDocument/2006/relationships/hyperlink" Target="https://www.digikey.com/en/products/detail/samsung-electro-mechanics/CL10A225KL8NNNC/5961210" TargetMode="External"/><Relationship Id="rId5" Type="http://schemas.openxmlformats.org/officeDocument/2006/relationships/hyperlink" Target="https://www.digikey.com/en/products/detail/diodes-incorporated/MMBT2222A-7-F/814503" TargetMode="External"/><Relationship Id="rId15" Type="http://schemas.openxmlformats.org/officeDocument/2006/relationships/hyperlink" Target="https://www.digikey.com/en/products/detail/ecs-inc/ECS-327-7-34B-C-TR/3927420?s=N4IgTCBcDaIKIGEDKBaAdAZjAdhbjALAEIoIoAqASiALoC%2BQA" TargetMode="External"/><Relationship Id="rId23" Type="http://schemas.openxmlformats.org/officeDocument/2006/relationships/hyperlink" Target="https://www.digikey.com/en/products/detail/yageo/CC0603ZRY5V9BB104/2103081" TargetMode="External"/><Relationship Id="rId28" Type="http://schemas.openxmlformats.org/officeDocument/2006/relationships/hyperlink" Target="https://bde-ltd.com/stm32f407vgt7tr/" TargetMode="External"/><Relationship Id="rId10" Type="http://schemas.openxmlformats.org/officeDocument/2006/relationships/hyperlink" Target="https://www.digikey.com/en/products/detail/yageo/RC0603FR-07470RL/727256?s=N4IgTCBcDaIEoGEAMA2JBmAYnAtEg7ACz5JwAyIAugL5A" TargetMode="External"/><Relationship Id="rId19" Type="http://schemas.openxmlformats.org/officeDocument/2006/relationships/hyperlink" Target="https://www.digikey.com/en/products/detail/adam-tech/SMC-1-05-1-GT/9831387?s=N4IgTCBcDaIMoFkDCBaAjCgDAVnSg4gCogC6AvkA" TargetMode="External"/><Relationship Id="rId4" Type="http://schemas.openxmlformats.org/officeDocument/2006/relationships/hyperlink" Target="https://www.digikey.com/en/products/detail/sunled/XZVG68W-2/4745975?s=N4IgTCBcDaIBoC0BqBxAbADgOoFoIF0BfIA" TargetMode="External"/><Relationship Id="rId9" Type="http://schemas.openxmlformats.org/officeDocument/2006/relationships/hyperlink" Target="https://www.digikey.com/en/products/detail/yageo/RC0603JR-071KL/726677?s=N4IgTCBcDaIEoGEAMA2JBmAUnAtEg7AIwDSAMiALoC%2BQA" TargetMode="External"/><Relationship Id="rId14" Type="http://schemas.openxmlformats.org/officeDocument/2006/relationships/hyperlink" Target="https://www.digikey.com/en/products/detail/citizen-finedevice-co-ltd/HCM4920000000ABJT/284290?s=N4IgTCBcDaIBIGECyAWAnGADNnmCCAQgFIAqIAugL5A" TargetMode="External"/><Relationship Id="rId22" Type="http://schemas.openxmlformats.org/officeDocument/2006/relationships/hyperlink" Target="https://www.digikey.com/en/products/detail/samsung-electro-mechanics/CL10A475MA8NQNC/3887561" TargetMode="External"/><Relationship Id="rId27" Type="http://schemas.openxmlformats.org/officeDocument/2006/relationships/hyperlink" Target="https://www.newark.com/harwin/m55-6012042r/connector-rcpt-20pos-2row-1-27mm/dp/94AC6752?CMP=AFC-OP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4"/>
  <sheetViews>
    <sheetView tabSelected="1" topLeftCell="D1" zoomScale="70" zoomScaleNormal="70" workbookViewId="0">
      <selection sqref="A1:Q1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4" width="28.140625" customWidth="1"/>
    <col min="5" max="5" width="16.5703125" customWidth="1"/>
    <col min="6" max="6" width="25.28515625" bestFit="1" customWidth="1"/>
    <col min="7" max="7" width="19.85546875" bestFit="1" customWidth="1"/>
    <col min="8" max="8" width="18" bestFit="1" customWidth="1"/>
    <col min="9" max="9" width="22.42578125" bestFit="1" customWidth="1"/>
    <col min="10" max="10" width="19.42578125" bestFit="1" customWidth="1"/>
    <col min="11" max="11" width="13.42578125" bestFit="1" customWidth="1"/>
    <col min="12" max="12" width="15.7109375" bestFit="1" customWidth="1"/>
    <col min="13" max="13" width="14.5703125" bestFit="1" customWidth="1"/>
    <col min="14" max="14" width="15.85546875" bestFit="1" customWidth="1"/>
    <col min="15" max="15" width="24.5703125" bestFit="1" customWidth="1"/>
    <col min="16" max="16" width="17.140625" bestFit="1" customWidth="1"/>
    <col min="17" max="17" width="27.28515625" bestFit="1" customWidth="1"/>
  </cols>
  <sheetData>
    <row r="1" spans="1:17" ht="16.5" thickBot="1" x14ac:dyDescent="0.3">
      <c r="A1" s="58" t="s">
        <v>159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60"/>
    </row>
    <row r="2" spans="1:17" ht="15.75" thickBot="1" x14ac:dyDescent="0.3">
      <c r="A2" s="1" t="s">
        <v>146</v>
      </c>
      <c r="B2" s="11" t="s">
        <v>147</v>
      </c>
      <c r="C2" s="11" t="s">
        <v>0</v>
      </c>
      <c r="D2" s="11" t="s">
        <v>1</v>
      </c>
      <c r="E2" s="11" t="s">
        <v>148</v>
      </c>
      <c r="F2" s="11" t="s">
        <v>3</v>
      </c>
      <c r="G2" s="11" t="s">
        <v>2</v>
      </c>
      <c r="H2" s="11" t="s">
        <v>149</v>
      </c>
      <c r="I2" s="11" t="s">
        <v>150</v>
      </c>
      <c r="J2" s="11" t="s">
        <v>151</v>
      </c>
      <c r="K2" s="11" t="s">
        <v>152</v>
      </c>
      <c r="L2" s="11" t="s">
        <v>153</v>
      </c>
      <c r="M2" s="11" t="s">
        <v>154</v>
      </c>
      <c r="N2" s="11" t="s">
        <v>155</v>
      </c>
      <c r="O2" s="11" t="s">
        <v>156</v>
      </c>
      <c r="P2" s="11" t="s">
        <v>157</v>
      </c>
      <c r="Q2" s="11" t="s">
        <v>158</v>
      </c>
    </row>
    <row r="3" spans="1:17" ht="15.75" thickBot="1" x14ac:dyDescent="0.3">
      <c r="A3" s="53">
        <v>1</v>
      </c>
      <c r="B3" s="56" t="s">
        <v>166</v>
      </c>
      <c r="C3" s="21" t="s">
        <v>5</v>
      </c>
      <c r="D3" s="22" t="s">
        <v>6</v>
      </c>
      <c r="E3" s="22" t="s">
        <v>7</v>
      </c>
      <c r="F3" s="22" t="s">
        <v>8</v>
      </c>
      <c r="G3" s="22" t="s">
        <v>9</v>
      </c>
      <c r="H3" s="23" t="s">
        <v>163</v>
      </c>
      <c r="I3" s="22" t="s">
        <v>4</v>
      </c>
      <c r="J3" s="24">
        <v>1</v>
      </c>
      <c r="K3" s="24">
        <f>J3*5</f>
        <v>5</v>
      </c>
      <c r="L3" s="26" t="s">
        <v>160</v>
      </c>
      <c r="M3" s="27">
        <v>0.31</v>
      </c>
      <c r="N3" s="27">
        <f>M3*J3</f>
        <v>0.31</v>
      </c>
      <c r="O3" s="27">
        <v>0.31</v>
      </c>
      <c r="P3" s="27">
        <f>O3*K3</f>
        <v>1.55</v>
      </c>
      <c r="Q3" s="28"/>
    </row>
    <row r="4" spans="1:17" ht="15.75" thickBot="1" x14ac:dyDescent="0.3">
      <c r="A4" s="53">
        <f>A3+1</f>
        <v>2</v>
      </c>
      <c r="B4" s="61"/>
      <c r="C4" s="2" t="s">
        <v>11</v>
      </c>
      <c r="D4" s="3" t="s">
        <v>12</v>
      </c>
      <c r="E4" s="3" t="s">
        <v>7</v>
      </c>
      <c r="F4" s="3" t="s">
        <v>13</v>
      </c>
      <c r="G4" s="3" t="s">
        <v>9</v>
      </c>
      <c r="H4" s="12" t="s">
        <v>164</v>
      </c>
      <c r="I4" s="3" t="s">
        <v>10</v>
      </c>
      <c r="J4" s="4">
        <v>22</v>
      </c>
      <c r="K4" s="4">
        <f t="shared" ref="K4:K32" si="0">J4*5</f>
        <v>110</v>
      </c>
      <c r="L4" s="15" t="s">
        <v>160</v>
      </c>
      <c r="M4" s="14">
        <v>4.8000000000000001E-2</v>
      </c>
      <c r="N4" s="14">
        <f t="shared" ref="N4:N32" si="1">M4*J4</f>
        <v>1.056</v>
      </c>
      <c r="O4" s="14">
        <v>1.3599999999999999E-2</v>
      </c>
      <c r="P4" s="14">
        <f t="shared" ref="P4:P32" si="2">O4*K4</f>
        <v>1.496</v>
      </c>
      <c r="Q4" s="29"/>
    </row>
    <row r="5" spans="1:17" ht="15.75" thickBot="1" x14ac:dyDescent="0.3">
      <c r="A5" s="53">
        <f t="shared" ref="A5:A32" si="3">A4+1</f>
        <v>3</v>
      </c>
      <c r="B5" s="61"/>
      <c r="C5" s="2" t="s">
        <v>15</v>
      </c>
      <c r="D5" s="3" t="s">
        <v>16</v>
      </c>
      <c r="E5" s="3" t="s">
        <v>17</v>
      </c>
      <c r="F5" s="3" t="s">
        <v>17</v>
      </c>
      <c r="G5" s="3" t="s">
        <v>18</v>
      </c>
      <c r="H5" s="13"/>
      <c r="I5" s="3" t="s">
        <v>14</v>
      </c>
      <c r="J5" s="4">
        <v>1</v>
      </c>
      <c r="K5" s="4">
        <f t="shared" si="0"/>
        <v>5</v>
      </c>
      <c r="L5" s="15" t="s">
        <v>160</v>
      </c>
      <c r="M5" s="14">
        <v>0.79</v>
      </c>
      <c r="N5" s="14">
        <f t="shared" si="1"/>
        <v>0.79</v>
      </c>
      <c r="O5" s="14">
        <v>0.79</v>
      </c>
      <c r="P5" s="14">
        <f t="shared" si="2"/>
        <v>3.95</v>
      </c>
      <c r="Q5" s="29"/>
    </row>
    <row r="6" spans="1:17" ht="15.75" thickBot="1" x14ac:dyDescent="0.3">
      <c r="A6" s="53">
        <f t="shared" si="3"/>
        <v>4</v>
      </c>
      <c r="B6" s="61"/>
      <c r="C6" s="2" t="s">
        <v>20</v>
      </c>
      <c r="D6" s="3" t="s">
        <v>21</v>
      </c>
      <c r="E6" s="3" t="s">
        <v>22</v>
      </c>
      <c r="F6" s="3" t="s">
        <v>23</v>
      </c>
      <c r="G6" s="3" t="s">
        <v>24</v>
      </c>
      <c r="H6" s="13"/>
      <c r="I6" s="3" t="s">
        <v>19</v>
      </c>
      <c r="J6" s="4">
        <v>2</v>
      </c>
      <c r="K6" s="4">
        <f t="shared" si="0"/>
        <v>10</v>
      </c>
      <c r="L6" s="15" t="s">
        <v>160</v>
      </c>
      <c r="M6" s="14">
        <v>0.21</v>
      </c>
      <c r="N6" s="14">
        <f t="shared" si="1"/>
        <v>0.42</v>
      </c>
      <c r="O6" s="14">
        <v>0.14299999999999999</v>
      </c>
      <c r="P6" s="14">
        <f t="shared" si="2"/>
        <v>1.43</v>
      </c>
      <c r="Q6" s="29"/>
    </row>
    <row r="7" spans="1:17" ht="15.75" thickBot="1" x14ac:dyDescent="0.3">
      <c r="A7" s="53">
        <f t="shared" si="3"/>
        <v>5</v>
      </c>
      <c r="B7" s="61"/>
      <c r="C7" s="2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13"/>
      <c r="I7" s="3" t="s">
        <v>25</v>
      </c>
      <c r="J7" s="4">
        <v>4</v>
      </c>
      <c r="K7" s="4">
        <f t="shared" si="0"/>
        <v>20</v>
      </c>
      <c r="L7" s="15" t="s">
        <v>160</v>
      </c>
      <c r="M7" s="14">
        <v>0.11</v>
      </c>
      <c r="N7" s="14">
        <f t="shared" si="1"/>
        <v>0.44</v>
      </c>
      <c r="O7" s="14">
        <v>7.9000000000000001E-2</v>
      </c>
      <c r="P7" s="14">
        <f t="shared" si="2"/>
        <v>1.58</v>
      </c>
      <c r="Q7" s="29"/>
    </row>
    <row r="8" spans="1:17" ht="15.75" thickBot="1" x14ac:dyDescent="0.3">
      <c r="A8" s="53">
        <f t="shared" si="3"/>
        <v>6</v>
      </c>
      <c r="B8" s="57"/>
      <c r="C8" s="30" t="s">
        <v>32</v>
      </c>
      <c r="D8" s="31" t="s">
        <v>33</v>
      </c>
      <c r="E8" s="31" t="s">
        <v>7</v>
      </c>
      <c r="F8" s="31" t="s">
        <v>34</v>
      </c>
      <c r="G8" s="31" t="s">
        <v>9</v>
      </c>
      <c r="H8" s="32" t="s">
        <v>165</v>
      </c>
      <c r="I8" s="31" t="s">
        <v>31</v>
      </c>
      <c r="J8" s="33">
        <v>1</v>
      </c>
      <c r="K8" s="33">
        <f t="shared" si="0"/>
        <v>5</v>
      </c>
      <c r="L8" s="35" t="s">
        <v>160</v>
      </c>
      <c r="M8" s="36">
        <v>0.34</v>
      </c>
      <c r="N8" s="36">
        <f t="shared" si="1"/>
        <v>0.34</v>
      </c>
      <c r="O8" s="36">
        <v>0.34</v>
      </c>
      <c r="P8" s="36">
        <f t="shared" si="2"/>
        <v>1.7000000000000002</v>
      </c>
      <c r="Q8" s="37"/>
    </row>
    <row r="9" spans="1:17" ht="15.75" thickBot="1" x14ac:dyDescent="0.3">
      <c r="A9" s="53">
        <f t="shared" si="3"/>
        <v>7</v>
      </c>
      <c r="B9" s="56" t="s">
        <v>167</v>
      </c>
      <c r="C9" s="21" t="s">
        <v>36</v>
      </c>
      <c r="D9" s="22" t="s">
        <v>37</v>
      </c>
      <c r="E9" s="22" t="s">
        <v>39</v>
      </c>
      <c r="F9" s="22" t="s">
        <v>35</v>
      </c>
      <c r="G9" s="22" t="s">
        <v>38</v>
      </c>
      <c r="H9" s="25"/>
      <c r="I9" s="22"/>
      <c r="J9" s="24">
        <v>2</v>
      </c>
      <c r="K9" s="24">
        <f t="shared" si="0"/>
        <v>10</v>
      </c>
      <c r="L9" s="38" t="s">
        <v>175</v>
      </c>
      <c r="M9" s="39">
        <v>0.13100000000000001</v>
      </c>
      <c r="N9" s="27">
        <f t="shared" si="1"/>
        <v>0.26200000000000001</v>
      </c>
      <c r="O9" s="39">
        <v>0.13100000000000001</v>
      </c>
      <c r="P9" s="27">
        <f t="shared" si="2"/>
        <v>1.31</v>
      </c>
      <c r="Q9" s="28" t="s">
        <v>176</v>
      </c>
    </row>
    <row r="10" spans="1:17" ht="15.75" thickBot="1" x14ac:dyDescent="0.3">
      <c r="A10" s="53">
        <f t="shared" si="3"/>
        <v>8</v>
      </c>
      <c r="B10" s="61"/>
      <c r="C10" s="2" t="s">
        <v>41</v>
      </c>
      <c r="D10" s="3" t="s">
        <v>42</v>
      </c>
      <c r="E10" s="3" t="s">
        <v>43</v>
      </c>
      <c r="F10" s="3" t="s">
        <v>40</v>
      </c>
      <c r="G10" s="3" t="s">
        <v>44</v>
      </c>
      <c r="H10" s="13"/>
      <c r="I10" s="3"/>
      <c r="J10" s="4">
        <v>1</v>
      </c>
      <c r="K10" s="4">
        <f t="shared" si="0"/>
        <v>5</v>
      </c>
      <c r="L10" s="15" t="s">
        <v>160</v>
      </c>
      <c r="M10" s="14">
        <v>0.41</v>
      </c>
      <c r="N10" s="14">
        <f t="shared" si="1"/>
        <v>0.41</v>
      </c>
      <c r="O10" s="14">
        <v>0.41</v>
      </c>
      <c r="P10" s="14">
        <f t="shared" si="2"/>
        <v>2.0499999999999998</v>
      </c>
      <c r="Q10" s="29"/>
    </row>
    <row r="11" spans="1:17" ht="15.75" thickBot="1" x14ac:dyDescent="0.3">
      <c r="A11" s="53">
        <f t="shared" si="3"/>
        <v>9</v>
      </c>
      <c r="B11" s="57"/>
      <c r="C11" s="30" t="s">
        <v>55</v>
      </c>
      <c r="D11" s="31" t="s">
        <v>56</v>
      </c>
      <c r="E11" s="31" t="s">
        <v>57</v>
      </c>
      <c r="F11" s="31" t="s">
        <v>54</v>
      </c>
      <c r="G11" s="31" t="s">
        <v>58</v>
      </c>
      <c r="H11" s="34"/>
      <c r="I11" s="31"/>
      <c r="J11" s="33">
        <v>1</v>
      </c>
      <c r="K11" s="33">
        <f t="shared" si="0"/>
        <v>5</v>
      </c>
      <c r="L11" s="35" t="s">
        <v>160</v>
      </c>
      <c r="M11" s="36">
        <v>0.37</v>
      </c>
      <c r="N11" s="36">
        <f t="shared" si="1"/>
        <v>0.37</v>
      </c>
      <c r="O11" s="36">
        <v>0.37</v>
      </c>
      <c r="P11" s="36">
        <f t="shared" si="2"/>
        <v>1.85</v>
      </c>
      <c r="Q11" s="37"/>
    </row>
    <row r="12" spans="1:17" ht="15.75" thickBot="1" x14ac:dyDescent="0.3">
      <c r="A12" s="53">
        <f t="shared" si="3"/>
        <v>10</v>
      </c>
      <c r="B12" s="40" t="s">
        <v>168</v>
      </c>
      <c r="C12" s="41" t="s">
        <v>50</v>
      </c>
      <c r="D12" s="42" t="s">
        <v>51</v>
      </c>
      <c r="E12" s="42" t="s">
        <v>52</v>
      </c>
      <c r="F12" s="42" t="s">
        <v>49</v>
      </c>
      <c r="G12" s="42" t="s">
        <v>53</v>
      </c>
      <c r="H12" s="43"/>
      <c r="I12" s="42"/>
      <c r="J12" s="44">
        <v>1</v>
      </c>
      <c r="K12" s="44">
        <f t="shared" si="0"/>
        <v>5</v>
      </c>
      <c r="L12" s="45" t="s">
        <v>162</v>
      </c>
      <c r="M12" s="46">
        <v>0.192</v>
      </c>
      <c r="N12" s="47">
        <f t="shared" si="1"/>
        <v>0.192</v>
      </c>
      <c r="O12" s="46">
        <v>0.192</v>
      </c>
      <c r="P12" s="47">
        <f t="shared" si="2"/>
        <v>0.96</v>
      </c>
      <c r="Q12" s="48"/>
    </row>
    <row r="13" spans="1:17" ht="15.75" thickBot="1" x14ac:dyDescent="0.3">
      <c r="A13" s="53">
        <f t="shared" si="3"/>
        <v>11</v>
      </c>
      <c r="B13" s="40" t="s">
        <v>169</v>
      </c>
      <c r="C13" s="41" t="s">
        <v>64</v>
      </c>
      <c r="D13" s="42" t="s">
        <v>65</v>
      </c>
      <c r="E13" s="42" t="s">
        <v>66</v>
      </c>
      <c r="F13" s="42" t="s">
        <v>63</v>
      </c>
      <c r="G13" s="42" t="s">
        <v>67</v>
      </c>
      <c r="H13" s="43"/>
      <c r="I13" s="42"/>
      <c r="J13" s="44">
        <v>2</v>
      </c>
      <c r="K13" s="44">
        <f t="shared" si="0"/>
        <v>10</v>
      </c>
      <c r="L13" s="45" t="s">
        <v>160</v>
      </c>
      <c r="M13" s="47">
        <v>0.14000000000000001</v>
      </c>
      <c r="N13" s="47">
        <f t="shared" si="1"/>
        <v>0.28000000000000003</v>
      </c>
      <c r="O13" s="47">
        <v>0.125</v>
      </c>
      <c r="P13" s="47">
        <f t="shared" si="2"/>
        <v>1.25</v>
      </c>
      <c r="Q13" s="48"/>
    </row>
    <row r="14" spans="1:17" ht="15.75" thickBot="1" x14ac:dyDescent="0.3">
      <c r="A14" s="53">
        <f t="shared" si="3"/>
        <v>12</v>
      </c>
      <c r="B14" s="56" t="s">
        <v>170</v>
      </c>
      <c r="C14" s="21" t="s">
        <v>69</v>
      </c>
      <c r="D14" s="22" t="s">
        <v>70</v>
      </c>
      <c r="E14" s="22" t="s">
        <v>71</v>
      </c>
      <c r="F14" s="22" t="s">
        <v>72</v>
      </c>
      <c r="G14" s="22" t="s">
        <v>73</v>
      </c>
      <c r="H14" s="25"/>
      <c r="I14" s="22" t="s">
        <v>68</v>
      </c>
      <c r="J14" s="24">
        <v>1</v>
      </c>
      <c r="K14" s="24">
        <f t="shared" si="0"/>
        <v>5</v>
      </c>
      <c r="L14" s="38" t="s">
        <v>160</v>
      </c>
      <c r="M14" s="27">
        <v>0.1</v>
      </c>
      <c r="N14" s="27">
        <f t="shared" si="1"/>
        <v>0.1</v>
      </c>
      <c r="O14" s="27">
        <v>0.1</v>
      </c>
      <c r="P14" s="27">
        <f t="shared" si="2"/>
        <v>0.5</v>
      </c>
      <c r="Q14" s="28"/>
    </row>
    <row r="15" spans="1:17" ht="15.75" thickBot="1" x14ac:dyDescent="0.3">
      <c r="A15" s="53">
        <f t="shared" si="3"/>
        <v>13</v>
      </c>
      <c r="B15" s="61"/>
      <c r="C15" s="2" t="s">
        <v>75</v>
      </c>
      <c r="D15" s="3" t="s">
        <v>76</v>
      </c>
      <c r="E15" s="3" t="s">
        <v>71</v>
      </c>
      <c r="F15" s="3" t="s">
        <v>77</v>
      </c>
      <c r="G15" s="3" t="s">
        <v>73</v>
      </c>
      <c r="H15" s="13"/>
      <c r="I15" s="3" t="s">
        <v>74</v>
      </c>
      <c r="J15" s="4">
        <v>5</v>
      </c>
      <c r="K15" s="4">
        <f t="shared" si="0"/>
        <v>25</v>
      </c>
      <c r="L15" s="15" t="s">
        <v>160</v>
      </c>
      <c r="M15" s="14">
        <v>0.1</v>
      </c>
      <c r="N15" s="14">
        <f t="shared" si="1"/>
        <v>0.5</v>
      </c>
      <c r="O15" s="14">
        <v>2.4E-2</v>
      </c>
      <c r="P15" s="14">
        <f t="shared" si="2"/>
        <v>0.6</v>
      </c>
      <c r="Q15" s="29"/>
    </row>
    <row r="16" spans="1:17" ht="15.75" thickBot="1" x14ac:dyDescent="0.3">
      <c r="A16" s="53">
        <f t="shared" si="3"/>
        <v>14</v>
      </c>
      <c r="B16" s="61"/>
      <c r="C16" s="2" t="s">
        <v>79</v>
      </c>
      <c r="D16" s="3" t="s">
        <v>80</v>
      </c>
      <c r="E16" s="3" t="s">
        <v>81</v>
      </c>
      <c r="F16" s="3" t="s">
        <v>82</v>
      </c>
      <c r="G16" s="3" t="s">
        <v>83</v>
      </c>
      <c r="H16" s="13"/>
      <c r="I16" s="3" t="s">
        <v>78</v>
      </c>
      <c r="J16" s="4">
        <v>1</v>
      </c>
      <c r="K16" s="4">
        <f t="shared" si="0"/>
        <v>5</v>
      </c>
      <c r="L16" s="15" t="s">
        <v>160</v>
      </c>
      <c r="M16" s="14">
        <v>0.1</v>
      </c>
      <c r="N16" s="14">
        <f t="shared" si="1"/>
        <v>0.1</v>
      </c>
      <c r="O16" s="14">
        <v>0.1</v>
      </c>
      <c r="P16" s="14">
        <f t="shared" si="2"/>
        <v>0.5</v>
      </c>
      <c r="Q16" s="29"/>
    </row>
    <row r="17" spans="1:17" ht="15.75" thickBot="1" x14ac:dyDescent="0.3">
      <c r="A17" s="53">
        <f t="shared" si="3"/>
        <v>15</v>
      </c>
      <c r="B17" s="61"/>
      <c r="C17" s="2" t="s">
        <v>85</v>
      </c>
      <c r="D17" s="3" t="s">
        <v>86</v>
      </c>
      <c r="E17" s="3" t="s">
        <v>71</v>
      </c>
      <c r="F17" s="3" t="s">
        <v>87</v>
      </c>
      <c r="G17" s="3" t="s">
        <v>73</v>
      </c>
      <c r="H17" s="13"/>
      <c r="I17" s="3" t="s">
        <v>84</v>
      </c>
      <c r="J17" s="4">
        <v>2</v>
      </c>
      <c r="K17" s="4">
        <f t="shared" si="0"/>
        <v>10</v>
      </c>
      <c r="L17" s="15" t="s">
        <v>160</v>
      </c>
      <c r="M17" s="14">
        <v>0.1</v>
      </c>
      <c r="N17" s="14">
        <f t="shared" si="1"/>
        <v>0.2</v>
      </c>
      <c r="O17" s="14">
        <v>0.02</v>
      </c>
      <c r="P17" s="14">
        <f t="shared" si="2"/>
        <v>0.2</v>
      </c>
      <c r="Q17" s="29"/>
    </row>
    <row r="18" spans="1:17" ht="15.75" thickBot="1" x14ac:dyDescent="0.3">
      <c r="A18" s="53">
        <f t="shared" si="3"/>
        <v>16</v>
      </c>
      <c r="B18" s="61"/>
      <c r="C18" s="2" t="s">
        <v>89</v>
      </c>
      <c r="D18" s="3" t="s">
        <v>90</v>
      </c>
      <c r="E18" s="3" t="s">
        <v>71</v>
      </c>
      <c r="F18" s="3" t="s">
        <v>91</v>
      </c>
      <c r="G18" s="3" t="s">
        <v>73</v>
      </c>
      <c r="H18" s="13"/>
      <c r="I18" s="3" t="s">
        <v>88</v>
      </c>
      <c r="J18" s="4">
        <v>1</v>
      </c>
      <c r="K18" s="4">
        <f t="shared" si="0"/>
        <v>5</v>
      </c>
      <c r="L18" s="15" t="s">
        <v>160</v>
      </c>
      <c r="M18" s="14">
        <v>0.1</v>
      </c>
      <c r="N18" s="14">
        <f t="shared" si="1"/>
        <v>0.1</v>
      </c>
      <c r="O18" s="14">
        <v>0.1</v>
      </c>
      <c r="P18" s="14">
        <f t="shared" si="2"/>
        <v>0.5</v>
      </c>
      <c r="Q18" s="29"/>
    </row>
    <row r="19" spans="1:17" ht="15.75" thickBot="1" x14ac:dyDescent="0.3">
      <c r="A19" s="53">
        <f t="shared" si="3"/>
        <v>17</v>
      </c>
      <c r="B19" s="61"/>
      <c r="C19" s="2" t="s">
        <v>93</v>
      </c>
      <c r="D19" s="3" t="s">
        <v>94</v>
      </c>
      <c r="E19" s="3" t="s">
        <v>71</v>
      </c>
      <c r="F19" s="3" t="s">
        <v>96</v>
      </c>
      <c r="G19" s="3" t="s">
        <v>95</v>
      </c>
      <c r="H19" s="13"/>
      <c r="I19" s="3" t="s">
        <v>92</v>
      </c>
      <c r="J19" s="4">
        <v>2</v>
      </c>
      <c r="K19" s="4">
        <f t="shared" si="0"/>
        <v>10</v>
      </c>
      <c r="L19" s="15" t="s">
        <v>160</v>
      </c>
      <c r="M19" s="14">
        <v>0.1</v>
      </c>
      <c r="N19" s="14">
        <f t="shared" si="1"/>
        <v>0.2</v>
      </c>
      <c r="O19" s="14">
        <v>0.02</v>
      </c>
      <c r="P19" s="14">
        <f t="shared" si="2"/>
        <v>0.2</v>
      </c>
      <c r="Q19" s="29"/>
    </row>
    <row r="20" spans="1:17" ht="15.75" thickBot="1" x14ac:dyDescent="0.3">
      <c r="A20" s="53">
        <f t="shared" si="3"/>
        <v>18</v>
      </c>
      <c r="B20" s="57"/>
      <c r="C20" s="30" t="s">
        <v>97</v>
      </c>
      <c r="D20" s="31" t="s">
        <v>98</v>
      </c>
      <c r="E20" s="31" t="s">
        <v>81</v>
      </c>
      <c r="F20" s="31" t="s">
        <v>99</v>
      </c>
      <c r="G20" s="31" t="s">
        <v>73</v>
      </c>
      <c r="H20" s="34"/>
      <c r="I20" s="31" t="s">
        <v>84</v>
      </c>
      <c r="J20" s="33">
        <v>2</v>
      </c>
      <c r="K20" s="33">
        <f t="shared" si="0"/>
        <v>10</v>
      </c>
      <c r="L20" s="35" t="s">
        <v>160</v>
      </c>
      <c r="M20" s="36">
        <v>0.1</v>
      </c>
      <c r="N20" s="36">
        <f t="shared" si="1"/>
        <v>0.2</v>
      </c>
      <c r="O20" s="36">
        <v>4.2000000000000003E-2</v>
      </c>
      <c r="P20" s="36">
        <f t="shared" si="2"/>
        <v>0.42000000000000004</v>
      </c>
      <c r="Q20" s="37"/>
    </row>
    <row r="21" spans="1:17" ht="15.75" thickBot="1" x14ac:dyDescent="0.3">
      <c r="A21" s="53">
        <f t="shared" si="3"/>
        <v>19</v>
      </c>
      <c r="B21" s="40" t="s">
        <v>171</v>
      </c>
      <c r="C21" s="41" t="s">
        <v>101</v>
      </c>
      <c r="D21" s="42" t="s">
        <v>102</v>
      </c>
      <c r="E21" s="42" t="s">
        <v>100</v>
      </c>
      <c r="F21" s="42" t="s">
        <v>100</v>
      </c>
      <c r="G21" s="42" t="s">
        <v>103</v>
      </c>
      <c r="H21" s="43"/>
      <c r="I21" s="42"/>
      <c r="J21" s="44">
        <v>1</v>
      </c>
      <c r="K21" s="44">
        <f t="shared" si="0"/>
        <v>5</v>
      </c>
      <c r="L21" s="45" t="s">
        <v>160</v>
      </c>
      <c r="M21" s="47">
        <v>0.96</v>
      </c>
      <c r="N21" s="47">
        <f t="shared" si="1"/>
        <v>0.96</v>
      </c>
      <c r="O21" s="47">
        <v>0.96</v>
      </c>
      <c r="P21" s="47">
        <f t="shared" si="2"/>
        <v>4.8</v>
      </c>
      <c r="Q21" s="48"/>
    </row>
    <row r="22" spans="1:17" ht="15.75" thickBot="1" x14ac:dyDescent="0.3">
      <c r="A22" s="53">
        <f t="shared" si="3"/>
        <v>20</v>
      </c>
      <c r="B22" s="56" t="s">
        <v>172</v>
      </c>
      <c r="C22" s="21" t="s">
        <v>138</v>
      </c>
      <c r="D22" s="22" t="s">
        <v>139</v>
      </c>
      <c r="E22" s="22" t="s">
        <v>140</v>
      </c>
      <c r="F22" s="22" t="s">
        <v>140</v>
      </c>
      <c r="G22" s="22" t="s">
        <v>141</v>
      </c>
      <c r="H22" s="25"/>
      <c r="I22" s="22" t="s">
        <v>137</v>
      </c>
      <c r="J22" s="24">
        <v>1</v>
      </c>
      <c r="K22" s="24">
        <f t="shared" si="0"/>
        <v>5</v>
      </c>
      <c r="L22" s="38" t="s">
        <v>160</v>
      </c>
      <c r="M22" s="27">
        <v>0.6</v>
      </c>
      <c r="N22" s="27">
        <f t="shared" si="1"/>
        <v>0.6</v>
      </c>
      <c r="O22" s="27">
        <v>0.6</v>
      </c>
      <c r="P22" s="27">
        <f t="shared" si="2"/>
        <v>3</v>
      </c>
      <c r="Q22" s="28"/>
    </row>
    <row r="23" spans="1:17" ht="15.75" thickBot="1" x14ac:dyDescent="0.3">
      <c r="A23" s="53">
        <f t="shared" si="3"/>
        <v>21</v>
      </c>
      <c r="B23" s="57"/>
      <c r="C23" s="30" t="s">
        <v>143</v>
      </c>
      <c r="D23" s="31" t="s">
        <v>144</v>
      </c>
      <c r="E23" s="31" t="s">
        <v>142</v>
      </c>
      <c r="F23" s="31" t="s">
        <v>142</v>
      </c>
      <c r="G23" s="31" t="s">
        <v>145</v>
      </c>
      <c r="H23" s="34"/>
      <c r="I23" s="31"/>
      <c r="J23" s="33">
        <v>1</v>
      </c>
      <c r="K23" s="33">
        <f t="shared" si="0"/>
        <v>5</v>
      </c>
      <c r="L23" s="35" t="s">
        <v>160</v>
      </c>
      <c r="M23" s="36">
        <v>0.8</v>
      </c>
      <c r="N23" s="36">
        <f t="shared" si="1"/>
        <v>0.8</v>
      </c>
      <c r="O23" s="36">
        <v>0.8</v>
      </c>
      <c r="P23" s="36">
        <f t="shared" si="2"/>
        <v>4</v>
      </c>
      <c r="Q23" s="37"/>
    </row>
    <row r="24" spans="1:17" ht="15.75" thickBot="1" x14ac:dyDescent="0.3">
      <c r="A24" s="53">
        <f t="shared" si="3"/>
        <v>22</v>
      </c>
      <c r="B24" s="56" t="s">
        <v>173</v>
      </c>
      <c r="C24" s="21" t="s">
        <v>105</v>
      </c>
      <c r="D24" s="22" t="s">
        <v>106</v>
      </c>
      <c r="E24" s="22" t="s">
        <v>107</v>
      </c>
      <c r="F24" s="22" t="s">
        <v>104</v>
      </c>
      <c r="G24" s="22" t="s">
        <v>108</v>
      </c>
      <c r="H24" s="25"/>
      <c r="I24" s="22"/>
      <c r="J24" s="24">
        <v>1</v>
      </c>
      <c r="K24" s="24">
        <f t="shared" si="0"/>
        <v>5</v>
      </c>
      <c r="L24" s="38" t="s">
        <v>178</v>
      </c>
      <c r="M24" s="49">
        <v>7.77</v>
      </c>
      <c r="N24" s="27">
        <f t="shared" si="1"/>
        <v>7.77</v>
      </c>
      <c r="O24" s="49">
        <v>7.77</v>
      </c>
      <c r="P24" s="27">
        <f t="shared" si="2"/>
        <v>38.849999999999994</v>
      </c>
      <c r="Q24" s="28" t="s">
        <v>179</v>
      </c>
    </row>
    <row r="25" spans="1:17" ht="15.75" thickBot="1" x14ac:dyDescent="0.3">
      <c r="A25" s="53">
        <f t="shared" si="3"/>
        <v>23</v>
      </c>
      <c r="B25" s="61"/>
      <c r="C25" s="5" t="s">
        <v>110</v>
      </c>
      <c r="D25" s="6" t="s">
        <v>111</v>
      </c>
      <c r="E25" s="6" t="s">
        <v>112</v>
      </c>
      <c r="F25" s="6" t="s">
        <v>109</v>
      </c>
      <c r="G25" s="6" t="s">
        <v>113</v>
      </c>
      <c r="H25" s="17"/>
      <c r="I25" s="6"/>
      <c r="J25" s="7">
        <v>1</v>
      </c>
      <c r="K25" s="7">
        <f t="shared" si="0"/>
        <v>5</v>
      </c>
      <c r="L25" s="18"/>
      <c r="M25" s="19"/>
      <c r="N25" s="19">
        <f t="shared" si="1"/>
        <v>0</v>
      </c>
      <c r="O25" s="19"/>
      <c r="P25" s="19">
        <f t="shared" si="2"/>
        <v>0</v>
      </c>
      <c r="Q25" s="50" t="s">
        <v>183</v>
      </c>
    </row>
    <row r="26" spans="1:17" ht="15.75" thickBot="1" x14ac:dyDescent="0.3">
      <c r="A26" s="53">
        <f t="shared" si="3"/>
        <v>24</v>
      </c>
      <c r="B26" s="61"/>
      <c r="C26" s="2" t="s">
        <v>115</v>
      </c>
      <c r="D26" s="3" t="s">
        <v>116</v>
      </c>
      <c r="E26" s="3" t="s">
        <v>117</v>
      </c>
      <c r="F26" s="3" t="s">
        <v>114</v>
      </c>
      <c r="G26" s="3" t="s">
        <v>118</v>
      </c>
      <c r="H26" s="13"/>
      <c r="I26" s="3"/>
      <c r="J26" s="4">
        <v>1</v>
      </c>
      <c r="K26" s="4">
        <f t="shared" si="0"/>
        <v>5</v>
      </c>
      <c r="L26" s="15" t="s">
        <v>162</v>
      </c>
      <c r="M26" s="16">
        <v>10.4</v>
      </c>
      <c r="N26" s="14">
        <f t="shared" si="1"/>
        <v>10.4</v>
      </c>
      <c r="O26" s="16">
        <v>8.9499999999999993</v>
      </c>
      <c r="P26" s="14">
        <f t="shared" si="2"/>
        <v>44.75</v>
      </c>
      <c r="Q26" s="29"/>
    </row>
    <row r="27" spans="1:17" ht="15.75" thickBot="1" x14ac:dyDescent="0.3">
      <c r="A27" s="53">
        <f t="shared" si="3"/>
        <v>25</v>
      </c>
      <c r="B27" s="61"/>
      <c r="C27" s="2" t="s">
        <v>120</v>
      </c>
      <c r="D27" s="3" t="s">
        <v>121</v>
      </c>
      <c r="E27" s="3" t="s">
        <v>122</v>
      </c>
      <c r="F27" s="3" t="s">
        <v>119</v>
      </c>
      <c r="G27" s="3" t="s">
        <v>123</v>
      </c>
      <c r="H27" s="13"/>
      <c r="I27" s="3"/>
      <c r="J27" s="4">
        <v>1</v>
      </c>
      <c r="K27" s="4">
        <f t="shared" si="0"/>
        <v>5</v>
      </c>
      <c r="L27" s="15" t="s">
        <v>180</v>
      </c>
      <c r="M27" s="20">
        <v>16.577000000000002</v>
      </c>
      <c r="N27" s="14">
        <f t="shared" si="1"/>
        <v>16.577000000000002</v>
      </c>
      <c r="O27" s="20">
        <v>16.577000000000002</v>
      </c>
      <c r="P27" s="14">
        <f t="shared" si="2"/>
        <v>82.885000000000005</v>
      </c>
      <c r="Q27" s="29" t="s">
        <v>179</v>
      </c>
    </row>
    <row r="28" spans="1:17" ht="15.75" thickBot="1" x14ac:dyDescent="0.3">
      <c r="A28" s="53">
        <f t="shared" si="3"/>
        <v>26</v>
      </c>
      <c r="B28" s="61"/>
      <c r="C28" s="2" t="s">
        <v>125</v>
      </c>
      <c r="D28" s="3" t="s">
        <v>126</v>
      </c>
      <c r="E28" s="3" t="s">
        <v>127</v>
      </c>
      <c r="F28" s="3" t="s">
        <v>124</v>
      </c>
      <c r="G28" s="3" t="s">
        <v>113</v>
      </c>
      <c r="H28" s="13"/>
      <c r="I28" s="3"/>
      <c r="J28" s="4">
        <v>1</v>
      </c>
      <c r="K28" s="4">
        <f t="shared" si="0"/>
        <v>5</v>
      </c>
      <c r="L28" s="15" t="s">
        <v>160</v>
      </c>
      <c r="M28" s="14">
        <v>0.47</v>
      </c>
      <c r="N28" s="14">
        <f t="shared" si="1"/>
        <v>0.47</v>
      </c>
      <c r="O28" s="14">
        <v>0.47</v>
      </c>
      <c r="P28" s="14">
        <f t="shared" si="2"/>
        <v>2.3499999999999996</v>
      </c>
      <c r="Q28" s="29" t="s">
        <v>161</v>
      </c>
    </row>
    <row r="29" spans="1:17" ht="15.75" thickBot="1" x14ac:dyDescent="0.3">
      <c r="A29" s="53">
        <f t="shared" si="3"/>
        <v>27</v>
      </c>
      <c r="B29" s="61"/>
      <c r="C29" s="2" t="s">
        <v>129</v>
      </c>
      <c r="D29" s="3" t="s">
        <v>130</v>
      </c>
      <c r="E29" s="3" t="s">
        <v>131</v>
      </c>
      <c r="F29" s="3" t="s">
        <v>128</v>
      </c>
      <c r="G29" s="3" t="s">
        <v>132</v>
      </c>
      <c r="H29" s="13"/>
      <c r="I29" s="3"/>
      <c r="J29" s="4">
        <v>1</v>
      </c>
      <c r="K29" s="4">
        <f t="shared" si="0"/>
        <v>5</v>
      </c>
      <c r="L29" s="15" t="s">
        <v>160</v>
      </c>
      <c r="M29" s="14">
        <v>0.9</v>
      </c>
      <c r="N29" s="14">
        <f t="shared" si="1"/>
        <v>0.9</v>
      </c>
      <c r="O29" s="14">
        <v>0.9</v>
      </c>
      <c r="P29" s="14">
        <f t="shared" si="2"/>
        <v>4.5</v>
      </c>
      <c r="Q29" s="29" t="s">
        <v>161</v>
      </c>
    </row>
    <row r="30" spans="1:17" ht="15.75" thickBot="1" x14ac:dyDescent="0.3">
      <c r="A30" s="53">
        <f t="shared" si="3"/>
        <v>28</v>
      </c>
      <c r="B30" s="57"/>
      <c r="C30" s="30" t="s">
        <v>134</v>
      </c>
      <c r="D30" s="31" t="s">
        <v>135</v>
      </c>
      <c r="E30" s="31" t="s">
        <v>136</v>
      </c>
      <c r="F30" s="31" t="s">
        <v>133</v>
      </c>
      <c r="G30" s="31" t="s">
        <v>44</v>
      </c>
      <c r="H30" s="34"/>
      <c r="I30" s="31"/>
      <c r="J30" s="33">
        <v>1</v>
      </c>
      <c r="K30" s="33">
        <f t="shared" si="0"/>
        <v>5</v>
      </c>
      <c r="L30" s="35" t="s">
        <v>160</v>
      </c>
      <c r="M30" s="36">
        <v>0.47</v>
      </c>
      <c r="N30" s="36">
        <f t="shared" si="1"/>
        <v>0.47</v>
      </c>
      <c r="O30" s="36">
        <v>0.47</v>
      </c>
      <c r="P30" s="36">
        <f t="shared" si="2"/>
        <v>2.3499999999999996</v>
      </c>
      <c r="Q30" s="37"/>
    </row>
    <row r="31" spans="1:17" ht="15.75" thickBot="1" x14ac:dyDescent="0.3">
      <c r="A31" s="53">
        <f t="shared" si="3"/>
        <v>29</v>
      </c>
      <c r="B31" s="56" t="s">
        <v>174</v>
      </c>
      <c r="C31" s="21" t="s">
        <v>46</v>
      </c>
      <c r="D31" s="22" t="s">
        <v>47</v>
      </c>
      <c r="E31" s="22" t="s">
        <v>45</v>
      </c>
      <c r="F31" s="22" t="s">
        <v>45</v>
      </c>
      <c r="G31" s="22" t="s">
        <v>48</v>
      </c>
      <c r="H31" s="25"/>
      <c r="I31" s="22"/>
      <c r="J31" s="24">
        <v>1</v>
      </c>
      <c r="K31" s="24">
        <f t="shared" si="0"/>
        <v>5</v>
      </c>
      <c r="L31" s="38" t="s">
        <v>177</v>
      </c>
      <c r="M31" s="51">
        <v>0.82199999999999995</v>
      </c>
      <c r="N31" s="27">
        <f t="shared" si="1"/>
        <v>0.82199999999999995</v>
      </c>
      <c r="O31" s="51">
        <v>0.82199999999999995</v>
      </c>
      <c r="P31" s="27">
        <f t="shared" si="2"/>
        <v>4.1099999999999994</v>
      </c>
      <c r="Q31" s="28"/>
    </row>
    <row r="32" spans="1:17" ht="15.75" thickBot="1" x14ac:dyDescent="0.3">
      <c r="A32" s="53">
        <f t="shared" si="3"/>
        <v>30</v>
      </c>
      <c r="B32" s="57"/>
      <c r="C32" s="30" t="s">
        <v>60</v>
      </c>
      <c r="D32" s="31" t="s">
        <v>61</v>
      </c>
      <c r="E32" s="31" t="s">
        <v>59</v>
      </c>
      <c r="F32" s="31" t="s">
        <v>59</v>
      </c>
      <c r="G32" s="31" t="s">
        <v>62</v>
      </c>
      <c r="H32" s="34"/>
      <c r="I32" s="31"/>
      <c r="J32" s="33">
        <v>1</v>
      </c>
      <c r="K32" s="33">
        <f t="shared" si="0"/>
        <v>5</v>
      </c>
      <c r="L32" s="35" t="s">
        <v>160</v>
      </c>
      <c r="M32" s="33">
        <v>0.41</v>
      </c>
      <c r="N32" s="36">
        <f t="shared" si="1"/>
        <v>0.41</v>
      </c>
      <c r="O32" s="36">
        <v>0.41</v>
      </c>
      <c r="P32" s="36">
        <f t="shared" si="2"/>
        <v>2.0499999999999998</v>
      </c>
      <c r="Q32" s="52"/>
    </row>
    <row r="33" spans="10:16" ht="19.5" thickBot="1" x14ac:dyDescent="0.35">
      <c r="J33" s="54" t="s">
        <v>181</v>
      </c>
      <c r="K33" s="54"/>
      <c r="L33" s="54"/>
      <c r="M33" s="54"/>
      <c r="P33" s="9">
        <f>SUM(P3:P32)</f>
        <v>215.69100000000003</v>
      </c>
    </row>
    <row r="34" spans="10:16" ht="18.75" x14ac:dyDescent="0.3">
      <c r="J34" s="55" t="s">
        <v>182</v>
      </c>
      <c r="K34" s="55"/>
      <c r="L34" s="55"/>
      <c r="M34" s="55"/>
      <c r="N34" s="8">
        <f>SUM(N3:N32)</f>
        <v>46.448999999999991</v>
      </c>
      <c r="P34" s="10">
        <f>P33/5</f>
        <v>43.138200000000005</v>
      </c>
    </row>
  </sheetData>
  <mergeCells count="9">
    <mergeCell ref="J33:M33"/>
    <mergeCell ref="J34:M34"/>
    <mergeCell ref="B31:B32"/>
    <mergeCell ref="A1:Q1"/>
    <mergeCell ref="B3:B8"/>
    <mergeCell ref="B9:B11"/>
    <mergeCell ref="B14:B20"/>
    <mergeCell ref="B22:B23"/>
    <mergeCell ref="B24:B30"/>
  </mergeCells>
  <conditionalFormatting sqref="J3:K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3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P3:P32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N34:P3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hyperlinks>
    <hyperlink ref="L5" r:id="rId1"/>
    <hyperlink ref="L7" r:id="rId2"/>
    <hyperlink ref="L10" r:id="rId3"/>
    <hyperlink ref="L11" r:id="rId4"/>
    <hyperlink ref="L13" r:id="rId5"/>
    <hyperlink ref="L14" r:id="rId6"/>
    <hyperlink ref="L15" r:id="rId7"/>
    <hyperlink ref="L16" r:id="rId8"/>
    <hyperlink ref="L17" r:id="rId9"/>
    <hyperlink ref="L18" r:id="rId10"/>
    <hyperlink ref="L19" r:id="rId11"/>
    <hyperlink ref="L20" r:id="rId12"/>
    <hyperlink ref="L21" r:id="rId13"/>
    <hyperlink ref="L22" r:id="rId14"/>
    <hyperlink ref="L23" r:id="rId15"/>
    <hyperlink ref="L28" r:id="rId16"/>
    <hyperlink ref="L29" r:id="rId17"/>
    <hyperlink ref="L30" r:id="rId18"/>
    <hyperlink ref="L32" r:id="rId19"/>
    <hyperlink ref="L26" r:id="rId20"/>
    <hyperlink ref="L12" r:id="rId21"/>
    <hyperlink ref="L3" r:id="rId22"/>
    <hyperlink ref="L4" r:id="rId23"/>
    <hyperlink ref="L6" r:id="rId24"/>
    <hyperlink ref="L8" r:id="rId25"/>
    <hyperlink ref="L9" r:id="rId26"/>
    <hyperlink ref="L31" r:id="rId27"/>
    <hyperlink ref="L24" r:id="rId28"/>
    <hyperlink ref="L27" r:id="rId29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3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N3:N32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P3:P32</xm:sqref>
        </x14:conditionalFormatting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N34:P34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SIDRA</cp:lastModifiedBy>
  <dcterms:created xsi:type="dcterms:W3CDTF">2021-07-08T08:22:22Z</dcterms:created>
  <dcterms:modified xsi:type="dcterms:W3CDTF">2021-07-08T13:03:09Z</dcterms:modified>
</cp:coreProperties>
</file>