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hub\ColeBenson-SmartMotors\Deliverables\SM_Bottom Board\_BOM\"/>
    </mc:Choice>
  </mc:AlternateContent>
  <bookViews>
    <workbookView xWindow="0" yWindow="0" windowWidth="28800" windowHeight="12300"/>
  </bookViews>
  <sheets>
    <sheet name="SM_Bottom_Board" sheetId="1" r:id="rId1"/>
  </sheets>
  <definedNames>
    <definedName name="_xlnm.Print_Titles" localSheetId="0">SM_Bottom_Board!#REF!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" i="1"/>
  <c r="U3" i="1" s="1"/>
  <c r="U33" i="1" s="1"/>
  <c r="U34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" i="1"/>
  <c r="S3" i="1" s="1"/>
  <c r="S33" i="1" l="1"/>
  <c r="S34" i="1" s="1"/>
  <c r="Q7" i="1"/>
  <c r="Q23" i="1"/>
  <c r="Q31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" i="1"/>
  <c r="K4" i="1"/>
  <c r="Q4" i="1" s="1"/>
  <c r="K5" i="1"/>
  <c r="Q5" i="1" s="1"/>
  <c r="K6" i="1"/>
  <c r="Q6" i="1" s="1"/>
  <c r="K7" i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6" i="1"/>
  <c r="Q16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K32" i="1"/>
  <c r="Q32" i="1" s="1"/>
  <c r="K3" i="1"/>
  <c r="Q3" i="1" s="1"/>
  <c r="O34" i="1" l="1"/>
  <c r="Q33" i="1"/>
  <c r="Q34" i="1" s="1"/>
</calcChain>
</file>

<file path=xl/sharedStrings.xml><?xml version="1.0" encoding="utf-8"?>
<sst xmlns="http://schemas.openxmlformats.org/spreadsheetml/2006/main" count="247" uniqueCount="189">
  <si>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</si>
  <si>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</si>
  <si>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</si>
  <si>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</si>
  <si>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</si>
  <si>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</si>
  <si>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</si>
  <si>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</si>
  <si>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</si>
  <si>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</si>
  <si>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</si>
  <si>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</si>
  <si>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</si>
  <si>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</si>
  <si>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</si>
  <si>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</si>
  <si>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</si>
  <si>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</si>
  <si>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</si>
  <si>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</si>
  <si>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</si>
  <si>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</si>
  <si>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</si>
  <si>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</si>
  <si>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</si>
  <si>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</si>
  <si>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</si>
  <si>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</si>
  <si>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</si>
  <si>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</si>
  <si>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</si>
  <si>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</si>
  <si>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</si>
  <si>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</si>
  <si>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</si>
  <si>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</si>
  <si>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</si>
  <si>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</si>
  <si>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</si>
  <si>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</si>
  <si>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</si>
  <si>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</si>
  <si>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</si>
  <si>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</si>
  <si>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</si>
  <si>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</si>
  <si>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</si>
  <si>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</si>
  <si>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</si>
  <si>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</si>
  <si>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</si>
  <si>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</si>
  <si>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</si>
  <si>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</si>
  <si>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</si>
  <si>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</si>
  <si>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</si>
  <si>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</si>
  <si>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</si>
  <si>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</si>
  <si>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</si>
  <si>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</si>
  <si>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</si>
  <si>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</si>
  <si>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</si>
  <si>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</si>
  <si>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</si>
  <si>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</si>
  <si>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</si>
  <si>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</si>
  <si>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</si>
  <si>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</si>
  <si>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</si>
  <si>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</si>
  <si>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R3</t>
  </si>
  <si>
    <t>Res-0201</t>
  </si>
  <si>
    <t>RMCF0201FT806R</t>
  </si>
  <si>
    <t>Stackpole Electronics</t>
  </si>
  <si>
    <t>1K</t>
  </si>
  <si>
    <t>R4, R5</t>
  </si>
  <si>
    <t>RC0603JR-071KL</t>
  </si>
  <si>
    <t>470R</t>
  </si>
  <si>
    <t>R6</t>
  </si>
  <si>
    <t>RC0603FR-07470RL</t>
  </si>
  <si>
    <t>Res SMD 0603 46.4 Ohm 1% 1/10W</t>
  </si>
  <si>
    <t>R7, R8</t>
  </si>
  <si>
    <t>Panasonic</t>
  </si>
  <si>
    <t>ERJ-3EKF46R4V</t>
  </si>
  <si>
    <t>RES SMD 1K OHM 1% 1/20W 0201</t>
  </si>
  <si>
    <t>R9, R10</t>
  </si>
  <si>
    <t>RC0201FR-071KL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</si>
  <si>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</si>
  <si>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</si>
  <si>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</si>
  <si>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</si>
  <si>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</si>
  <si>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</si>
  <si>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</si>
  <si>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</si>
  <si>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</si>
  <si>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</si>
  <si>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</si>
  <si>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</si>
  <si>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</si>
  <si>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</si>
  <si>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</si>
  <si>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</si>
  <si>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</si>
  <si>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</si>
  <si>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</si>
  <si>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</si>
  <si>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</si>
  <si>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</si>
  <si>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</si>
  <si>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</si>
  <si>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</si>
  <si>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</si>
  <si>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</si>
  <si>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</si>
  <si>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</si>
  <si>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</si>
  <si>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</si>
  <si>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</si>
  <si>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</si>
  <si>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</si>
  <si>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</si>
  <si>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</si>
  <si>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</si>
  <si>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</si>
  <si>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</si>
  <si>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</si>
  <si>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</si>
  <si>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</si>
  <si>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</si>
  <si>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</si>
  <si>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</si>
  <si>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</si>
  <si>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</si>
  <si>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</si>
  <si>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</si>
  <si>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</si>
  <si>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</si>
  <si>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</si>
  <si>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</si>
  <si>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</si>
  <si>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</si>
  <si>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</si>
  <si>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</si>
  <si>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</si>
  <si>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</si>
  <si>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less stock</t>
  </si>
  <si>
    <t>CL10A475MA8NQNC</t>
  </si>
  <si>
    <t>CC0603ZRY5V9BB104</t>
  </si>
  <si>
    <t>Capacitor</t>
  </si>
  <si>
    <t>Diode</t>
  </si>
  <si>
    <t>Mosfet</t>
  </si>
  <si>
    <t>Resistor</t>
  </si>
  <si>
    <t>Switch</t>
  </si>
  <si>
    <t>Crystal</t>
  </si>
  <si>
    <t>Ics</t>
  </si>
  <si>
    <t>Connectors</t>
  </si>
  <si>
    <t>out of stock everywhere</t>
  </si>
  <si>
    <t>Not anywhere else</t>
  </si>
  <si>
    <t xml:space="preserve">Total Component Cost </t>
  </si>
  <si>
    <t>Single Board Cost</t>
  </si>
  <si>
    <t>C2, C3, C4, C5, C6, C7, C8, C9, C10, C11, C15, C20, C32, C33, C34, C35, C36, C37, C50, CF1</t>
  </si>
  <si>
    <t xml:space="preserve">Custom </t>
  </si>
  <si>
    <t xml:space="preserve">CAP CER 0.1UF 50V X7R 0603
</t>
  </si>
  <si>
    <t>Case M</t>
  </si>
  <si>
    <t>----------</t>
  </si>
  <si>
    <t xml:space="preserve">CAP CER 2.2UF 35V X5R 0603
</t>
  </si>
  <si>
    <t xml:space="preserve">CM105X5R106M25AT
</t>
  </si>
  <si>
    <t>10uF</t>
  </si>
  <si>
    <t>---------</t>
  </si>
  <si>
    <t xml:space="preserve">FERRITE BEAD 120 OHM 0603 1LN
</t>
  </si>
  <si>
    <t>Inductor</t>
  </si>
  <si>
    <t>--------</t>
  </si>
  <si>
    <t xml:space="preserve">RES SMD 1K OHM 5% 1/10W 0603
</t>
  </si>
  <si>
    <t xml:space="preserve">RES SMD 470 OHM 1% 1/10W 0603
</t>
  </si>
  <si>
    <t xml:space="preserve">RES 806 OHM 1% 1/20W 0201
</t>
  </si>
  <si>
    <t>46.4R</t>
  </si>
  <si>
    <t>Unit Cost (25 Boards)</t>
  </si>
  <si>
    <t>Total Cost (25)</t>
  </si>
  <si>
    <t>Unit Cost (100 Boards)</t>
  </si>
  <si>
    <t>Total Cost (100)</t>
  </si>
  <si>
    <t>Quantity 25</t>
  </si>
  <si>
    <t>Quantity 100</t>
  </si>
  <si>
    <t>---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</si>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</sst>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2E3438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wrapText="1"/>
    </xf>
    <xf numFmtId="0" fontId="4" fillId="3" borderId="0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8" xfId="0" quotePrefix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center" vertical="center"/>
    </xf>
    <xf numFmtId="0" fontId="5" fillId="0" borderId="13" xfId="0" quotePrefix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5" fillId="0" borderId="13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1" xfId="0" quotePrefix="1" applyFont="1" applyBorder="1" applyAlignment="1">
      <alignment horizontal="center"/>
    </xf>
    <xf numFmtId="0" fontId="5" fillId="0" borderId="13" xfId="0" quotePrefix="1" applyFont="1" applyBorder="1" applyAlignment="1">
      <alignment horizontal="center"/>
    </xf>
    <xf numFmtId="0" fontId="5" fillId="0" borderId="8" xfId="0" quotePrefix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/>
    </xf>
    <xf numFmtId="0" fontId="5" fillId="3" borderId="1" xfId="0" quotePrefix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/>
    </xf>
    <xf numFmtId="0" fontId="5" fillId="3" borderId="8" xfId="0" quotePrefix="1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3" xfId="0" quotePrefix="1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5" fillId="0" borderId="15" xfId="0" quotePrefix="1" applyFont="1" applyBorder="1" applyAlignment="1">
      <alignment vertical="center"/>
    </xf>
    <xf numFmtId="0" fontId="5" fillId="0" borderId="16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vertical="center"/>
    </xf>
    <xf numFmtId="0" fontId="5" fillId="0" borderId="17" xfId="0" quotePrefix="1" applyFont="1" applyBorder="1" applyAlignment="1">
      <alignment vertical="center"/>
    </xf>
    <xf numFmtId="0" fontId="5" fillId="3" borderId="16" xfId="0" quotePrefix="1" applyFont="1" applyFill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5" fillId="0" borderId="21" xfId="0" quotePrefix="1" applyFont="1" applyBorder="1" applyAlignment="1">
      <alignment vertical="center"/>
    </xf>
    <xf numFmtId="164" fontId="5" fillId="0" borderId="13" xfId="0" applyNumberFormat="1" applyFont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" fillId="2" borderId="2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4"/>
  <sheetViews>
    <sheetView tabSelected="1" zoomScaleNormal="100" workbookViewId="0">
      <selection activeCell="E4" sqref="E4"/>
    </sheetView>
  </sheetViews>
  <sheetFormatPr defaultRowHeight="15" x14ac:dyDescent="0.25"/>
  <cols>
    <col min="1" max="1" width="6.140625" bestFit="1" customWidth="1"/>
    <col min="2" max="2" width="16.5703125" customWidth="1"/>
    <col min="3" max="3" width="51.42578125" bestFit="1" customWidth="1"/>
    <col min="4" max="4" width="28.140625" customWidth="1"/>
    <col min="5" max="5" width="18.5703125" bestFit="1" customWidth="1"/>
    <col min="6" max="6" width="25.28515625" bestFit="1" customWidth="1"/>
    <col min="7" max="7" width="19.85546875" bestFit="1" customWidth="1"/>
    <col min="8" max="8" width="20" bestFit="1" customWidth="1"/>
    <col min="9" max="9" width="6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0.42578125" style="12" bestFit="1" customWidth="1"/>
  </cols>
  <sheetData>
    <row r="1" spans="1:22" ht="16.5" thickBot="1" x14ac:dyDescent="0.3">
      <c r="A1" s="9" t="s">
        <v>149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</row>
    <row r="2" spans="1:22" ht="15.75" thickBot="1" x14ac:dyDescent="0.3">
      <c r="A2" s="1" t="s">
        <v>137</v>
      </c>
      <c r="B2" s="5" t="s">
        <v>138</v>
      </c>
      <c r="C2" s="5" t="s">
        <v>0</v>
      </c>
      <c r="D2" s="5" t="s">
        <v>1</v>
      </c>
      <c r="E2" s="5" t="s">
        <v>139</v>
      </c>
      <c r="F2" s="5" t="s">
        <v>3</v>
      </c>
      <c r="G2" s="5" t="s">
        <v>2</v>
      </c>
      <c r="H2" s="5" t="s">
        <v>140</v>
      </c>
      <c r="I2" s="5" t="s">
        <v>141</v>
      </c>
      <c r="J2" s="5" t="s">
        <v>142</v>
      </c>
      <c r="K2" s="5" t="s">
        <v>143</v>
      </c>
      <c r="L2" s="5" t="s">
        <v>185</v>
      </c>
      <c r="M2" s="5" t="s">
        <v>186</v>
      </c>
      <c r="N2" s="5" t="s">
        <v>144</v>
      </c>
      <c r="O2" s="5" t="s">
        <v>145</v>
      </c>
      <c r="P2" s="5" t="s">
        <v>146</v>
      </c>
      <c r="Q2" s="5" t="s">
        <v>147</v>
      </c>
      <c r="R2" s="5" t="s">
        <v>181</v>
      </c>
      <c r="S2" s="5" t="s">
        <v>182</v>
      </c>
      <c r="T2" s="5" t="s">
        <v>183</v>
      </c>
      <c r="U2" s="5" t="s">
        <v>184</v>
      </c>
      <c r="V2" s="5" t="s">
        <v>148</v>
      </c>
    </row>
    <row r="3" spans="1:22" ht="15.75" thickBot="1" x14ac:dyDescent="0.3">
      <c r="A3" s="1">
        <v>1</v>
      </c>
      <c r="B3" s="61" t="s">
        <v>153</v>
      </c>
      <c r="C3" s="56" t="s">
        <v>5</v>
      </c>
      <c r="D3" s="49" t="s">
        <v>6</v>
      </c>
      <c r="E3" s="13" t="s">
        <v>7</v>
      </c>
      <c r="F3" s="13" t="s">
        <v>8</v>
      </c>
      <c r="G3" s="13" t="s">
        <v>9</v>
      </c>
      <c r="H3" s="13" t="s">
        <v>151</v>
      </c>
      <c r="I3" s="13" t="s">
        <v>4</v>
      </c>
      <c r="J3" s="14">
        <v>1</v>
      </c>
      <c r="K3" s="14">
        <f>J3*5</f>
        <v>5</v>
      </c>
      <c r="L3" s="14">
        <f>J3*25</f>
        <v>25</v>
      </c>
      <c r="M3" s="14">
        <f>J3*100</f>
        <v>100</v>
      </c>
      <c r="N3" s="15">
        <v>0.31</v>
      </c>
      <c r="O3" s="15">
        <f>N3*J3</f>
        <v>0.31</v>
      </c>
      <c r="P3" s="15">
        <v>0.31</v>
      </c>
      <c r="Q3" s="15">
        <f>P3*K3</f>
        <v>1.55</v>
      </c>
      <c r="R3" s="15">
        <v>0.21299999999999999</v>
      </c>
      <c r="S3" s="54">
        <f>R3*L3</f>
        <v>5.3250000000000002</v>
      </c>
      <c r="T3" s="15">
        <v>0.12039999999999999</v>
      </c>
      <c r="U3" s="54">
        <f>T3*M3</f>
        <v>12.04</v>
      </c>
      <c r="V3" s="37"/>
    </row>
    <row r="4" spans="1:22" s="33" customFormat="1" ht="60.75" customHeight="1" thickBot="1" x14ac:dyDescent="0.3">
      <c r="A4" s="1">
        <v>2</v>
      </c>
      <c r="B4" s="62"/>
      <c r="C4" s="57" t="s">
        <v>167</v>
      </c>
      <c r="D4" s="50" t="s">
        <v>165</v>
      </c>
      <c r="E4" s="16" t="s">
        <v>7</v>
      </c>
      <c r="F4" s="16" t="s">
        <v>11</v>
      </c>
      <c r="G4" s="16" t="s">
        <v>9</v>
      </c>
      <c r="H4" s="16" t="s">
        <v>152</v>
      </c>
      <c r="I4" s="16" t="s">
        <v>10</v>
      </c>
      <c r="J4" s="31">
        <v>20</v>
      </c>
      <c r="K4" s="31">
        <f>J4*5</f>
        <v>100</v>
      </c>
      <c r="L4" s="18">
        <f t="shared" ref="L4:L32" si="0">J4*25</f>
        <v>500</v>
      </c>
      <c r="M4" s="18">
        <f t="shared" ref="M4:M32" si="1">J4*100</f>
        <v>2000</v>
      </c>
      <c r="N4" s="32">
        <v>4.8000000000000001E-2</v>
      </c>
      <c r="O4" s="32">
        <f>N4*J4</f>
        <v>0.96</v>
      </c>
      <c r="P4" s="32">
        <v>2.1399999999999999E-2</v>
      </c>
      <c r="Q4" s="32">
        <f>P4*K4</f>
        <v>2.1399999999999997</v>
      </c>
      <c r="R4" s="32">
        <v>1.5259999999999999E-2</v>
      </c>
      <c r="S4" s="42">
        <f>R4*L4</f>
        <v>7.63</v>
      </c>
      <c r="T4" s="32">
        <v>1.1990000000000001E-2</v>
      </c>
      <c r="U4" s="42">
        <f>T4*M4</f>
        <v>23.98</v>
      </c>
      <c r="V4" s="38"/>
    </row>
    <row r="5" spans="1:22" ht="15.75" thickBot="1" x14ac:dyDescent="0.3">
      <c r="A5" s="1">
        <v>3</v>
      </c>
      <c r="B5" s="62"/>
      <c r="C5" s="58" t="s">
        <v>13</v>
      </c>
      <c r="D5" s="44" t="s">
        <v>14</v>
      </c>
      <c r="E5" s="17" t="s">
        <v>168</v>
      </c>
      <c r="F5" s="17" t="s">
        <v>15</v>
      </c>
      <c r="G5" s="17" t="s">
        <v>16</v>
      </c>
      <c r="H5" s="34" t="s">
        <v>169</v>
      </c>
      <c r="I5" s="17" t="s">
        <v>12</v>
      </c>
      <c r="J5" s="18">
        <v>1</v>
      </c>
      <c r="K5" s="18">
        <f>J5*5</f>
        <v>5</v>
      </c>
      <c r="L5" s="18">
        <f t="shared" si="0"/>
        <v>25</v>
      </c>
      <c r="M5" s="18">
        <f t="shared" si="1"/>
        <v>100</v>
      </c>
      <c r="N5" s="19">
        <v>0.79</v>
      </c>
      <c r="O5" s="19">
        <f>N5*J5</f>
        <v>0.79</v>
      </c>
      <c r="P5" s="19">
        <v>0.79</v>
      </c>
      <c r="Q5" s="19">
        <f>P5*K5</f>
        <v>3.95</v>
      </c>
      <c r="R5" s="19">
        <v>0.55800000000000005</v>
      </c>
      <c r="S5" s="42">
        <f>R5*L5</f>
        <v>13.950000000000001</v>
      </c>
      <c r="T5" s="19">
        <v>0.36770000000000003</v>
      </c>
      <c r="U5" s="42">
        <f>T5*M5</f>
        <v>36.770000000000003</v>
      </c>
      <c r="V5" s="39"/>
    </row>
    <row r="6" spans="1:22" ht="15.75" thickBot="1" x14ac:dyDescent="0.3">
      <c r="A6" s="1">
        <v>4</v>
      </c>
      <c r="B6" s="62"/>
      <c r="C6" s="58" t="s">
        <v>170</v>
      </c>
      <c r="D6" s="44" t="s">
        <v>18</v>
      </c>
      <c r="E6" s="17" t="s">
        <v>19</v>
      </c>
      <c r="F6" s="17" t="s">
        <v>20</v>
      </c>
      <c r="G6" s="17" t="s">
        <v>21</v>
      </c>
      <c r="H6" s="34" t="s">
        <v>169</v>
      </c>
      <c r="I6" s="17" t="s">
        <v>17</v>
      </c>
      <c r="J6" s="18">
        <v>2</v>
      </c>
      <c r="K6" s="18">
        <f>J6*5</f>
        <v>10</v>
      </c>
      <c r="L6" s="18">
        <f t="shared" si="0"/>
        <v>50</v>
      </c>
      <c r="M6" s="18">
        <f t="shared" si="1"/>
        <v>200</v>
      </c>
      <c r="N6" s="19">
        <v>0.21</v>
      </c>
      <c r="O6" s="19">
        <f>N6*J6</f>
        <v>0.42</v>
      </c>
      <c r="P6" s="19">
        <v>0.14299999999999999</v>
      </c>
      <c r="Q6" s="19">
        <f>P6*K6</f>
        <v>1.43</v>
      </c>
      <c r="R6" s="19">
        <v>8.5599999999999996E-2</v>
      </c>
      <c r="S6" s="42">
        <f>R6*L6</f>
        <v>4.2799999999999994</v>
      </c>
      <c r="T6" s="19">
        <v>7.2400000000000006E-2</v>
      </c>
      <c r="U6" s="42">
        <f>T6*M6</f>
        <v>14.48</v>
      </c>
      <c r="V6" s="39"/>
    </row>
    <row r="7" spans="1:22" ht="15.75" thickBot="1" x14ac:dyDescent="0.3">
      <c r="A7" s="1">
        <v>5</v>
      </c>
      <c r="B7" s="62"/>
      <c r="C7" s="58" t="s">
        <v>23</v>
      </c>
      <c r="D7" s="44" t="s">
        <v>24</v>
      </c>
      <c r="E7" s="17" t="s">
        <v>25</v>
      </c>
      <c r="F7" s="17" t="s">
        <v>26</v>
      </c>
      <c r="G7" s="17" t="s">
        <v>27</v>
      </c>
      <c r="H7" s="34" t="s">
        <v>169</v>
      </c>
      <c r="I7" s="17" t="s">
        <v>22</v>
      </c>
      <c r="J7" s="18">
        <v>4</v>
      </c>
      <c r="K7" s="18">
        <f>J7*5</f>
        <v>20</v>
      </c>
      <c r="L7" s="18">
        <f t="shared" si="0"/>
        <v>100</v>
      </c>
      <c r="M7" s="18">
        <f t="shared" si="1"/>
        <v>400</v>
      </c>
      <c r="N7" s="19">
        <v>0.11</v>
      </c>
      <c r="O7" s="19">
        <f>N7*J7</f>
        <v>0.44</v>
      </c>
      <c r="P7" s="19">
        <v>7.9000000000000001E-2</v>
      </c>
      <c r="Q7" s="19">
        <f>P7*K7</f>
        <v>1.58</v>
      </c>
      <c r="R7" s="19">
        <v>3.5400000000000001E-2</v>
      </c>
      <c r="S7" s="42">
        <f>R7*L7</f>
        <v>3.54</v>
      </c>
      <c r="T7" s="19">
        <v>3.5400000000000001E-2</v>
      </c>
      <c r="U7" s="42">
        <f>T7*M7</f>
        <v>14.16</v>
      </c>
      <c r="V7" s="39"/>
    </row>
    <row r="8" spans="1:22" ht="15.75" thickBot="1" x14ac:dyDescent="0.3">
      <c r="A8" s="1">
        <v>6</v>
      </c>
      <c r="B8" s="63"/>
      <c r="C8" s="59" t="s">
        <v>28</v>
      </c>
      <c r="D8" s="51" t="s">
        <v>29</v>
      </c>
      <c r="E8" s="20" t="s">
        <v>7</v>
      </c>
      <c r="F8" s="20" t="s">
        <v>30</v>
      </c>
      <c r="G8" s="20" t="s">
        <v>9</v>
      </c>
      <c r="H8" s="21" t="s">
        <v>171</v>
      </c>
      <c r="I8" s="20" t="s">
        <v>172</v>
      </c>
      <c r="J8" s="21">
        <v>1</v>
      </c>
      <c r="K8" s="21">
        <f>J8*5</f>
        <v>5</v>
      </c>
      <c r="L8" s="21">
        <f t="shared" si="0"/>
        <v>25</v>
      </c>
      <c r="M8" s="21">
        <f t="shared" si="1"/>
        <v>100</v>
      </c>
      <c r="N8" s="22">
        <v>0.35</v>
      </c>
      <c r="O8" s="22">
        <f>N8*J8</f>
        <v>0.35</v>
      </c>
      <c r="P8" s="22">
        <v>0.35</v>
      </c>
      <c r="Q8" s="22">
        <f>P8*K8</f>
        <v>1.75</v>
      </c>
      <c r="R8" s="22">
        <v>0.24199999999999999</v>
      </c>
      <c r="S8" s="55">
        <f>R8*L8</f>
        <v>6.05</v>
      </c>
      <c r="T8" s="22">
        <v>0.1368</v>
      </c>
      <c r="U8" s="55">
        <f>T8*M8</f>
        <v>13.68</v>
      </c>
      <c r="V8" s="40"/>
    </row>
    <row r="9" spans="1:22" ht="15.75" thickBot="1" x14ac:dyDescent="0.3">
      <c r="A9" s="1">
        <v>7</v>
      </c>
      <c r="B9" s="61" t="s">
        <v>154</v>
      </c>
      <c r="C9" s="56" t="s">
        <v>32</v>
      </c>
      <c r="D9" s="49" t="s">
        <v>33</v>
      </c>
      <c r="E9" s="13" t="s">
        <v>35</v>
      </c>
      <c r="F9" s="13" t="s">
        <v>31</v>
      </c>
      <c r="G9" s="13" t="s">
        <v>34</v>
      </c>
      <c r="H9" s="36" t="s">
        <v>176</v>
      </c>
      <c r="I9" s="13" t="s">
        <v>187</v>
      </c>
      <c r="J9" s="14">
        <v>2</v>
      </c>
      <c r="K9" s="14">
        <f>J9*5</f>
        <v>10</v>
      </c>
      <c r="L9" s="14">
        <f t="shared" si="0"/>
        <v>50</v>
      </c>
      <c r="M9" s="14">
        <f t="shared" si="1"/>
        <v>200</v>
      </c>
      <c r="N9" s="23">
        <v>0.13100000000000001</v>
      </c>
      <c r="O9" s="15">
        <f>N9*J9</f>
        <v>0.26200000000000001</v>
      </c>
      <c r="P9" s="23">
        <v>0.13100000000000001</v>
      </c>
      <c r="Q9" s="15">
        <f>P9*K9</f>
        <v>1.31</v>
      </c>
      <c r="R9" s="15">
        <v>0.1048</v>
      </c>
      <c r="S9" s="54">
        <f>R9*L9</f>
        <v>5.24</v>
      </c>
      <c r="T9" s="15">
        <v>0.1</v>
      </c>
      <c r="U9" s="54">
        <f>T9*M9</f>
        <v>20</v>
      </c>
      <c r="V9" s="68" t="s">
        <v>161</v>
      </c>
    </row>
    <row r="10" spans="1:22" ht="15.75" thickBot="1" x14ac:dyDescent="0.3">
      <c r="A10" s="1">
        <v>8</v>
      </c>
      <c r="B10" s="62"/>
      <c r="C10" s="58" t="s">
        <v>37</v>
      </c>
      <c r="D10" s="44" t="s">
        <v>38</v>
      </c>
      <c r="E10" s="17" t="s">
        <v>39</v>
      </c>
      <c r="F10" s="17" t="s">
        <v>36</v>
      </c>
      <c r="G10" s="17" t="s">
        <v>40</v>
      </c>
      <c r="H10" s="34" t="s">
        <v>173</v>
      </c>
      <c r="I10" s="17" t="s">
        <v>187</v>
      </c>
      <c r="J10" s="18">
        <v>1</v>
      </c>
      <c r="K10" s="18">
        <f>J10*5</f>
        <v>5</v>
      </c>
      <c r="L10" s="18">
        <f t="shared" si="0"/>
        <v>25</v>
      </c>
      <c r="M10" s="18">
        <f t="shared" si="1"/>
        <v>100</v>
      </c>
      <c r="N10" s="19">
        <v>0.38</v>
      </c>
      <c r="O10" s="19">
        <f>N10*J10</f>
        <v>0.38</v>
      </c>
      <c r="P10" s="19">
        <v>0.38</v>
      </c>
      <c r="Q10" s="19">
        <f>P10*K10</f>
        <v>1.9</v>
      </c>
      <c r="R10" s="19">
        <v>0.28499999999999998</v>
      </c>
      <c r="S10" s="42">
        <f>R10*L10</f>
        <v>7.1249999999999991</v>
      </c>
      <c r="T10" s="19">
        <v>0.1613</v>
      </c>
      <c r="U10" s="42">
        <f>T10*M10</f>
        <v>16.13</v>
      </c>
      <c r="V10" s="39"/>
    </row>
    <row r="11" spans="1:22" ht="15.75" thickBot="1" x14ac:dyDescent="0.3">
      <c r="A11" s="1">
        <v>9</v>
      </c>
      <c r="B11" s="63"/>
      <c r="C11" s="59" t="s">
        <v>50</v>
      </c>
      <c r="D11" s="51" t="s">
        <v>51</v>
      </c>
      <c r="E11" s="20" t="s">
        <v>52</v>
      </c>
      <c r="F11" s="20" t="s">
        <v>49</v>
      </c>
      <c r="G11" s="20" t="s">
        <v>53</v>
      </c>
      <c r="H11" s="43" t="s">
        <v>173</v>
      </c>
      <c r="I11" s="20" t="s">
        <v>187</v>
      </c>
      <c r="J11" s="21">
        <v>1</v>
      </c>
      <c r="K11" s="21">
        <f>J11*5</f>
        <v>5</v>
      </c>
      <c r="L11" s="21">
        <f t="shared" si="0"/>
        <v>25</v>
      </c>
      <c r="M11" s="21">
        <f t="shared" si="1"/>
        <v>100</v>
      </c>
      <c r="N11" s="22">
        <v>0.37</v>
      </c>
      <c r="O11" s="22">
        <f>N11*J11</f>
        <v>0.37</v>
      </c>
      <c r="P11" s="22">
        <v>0.37</v>
      </c>
      <c r="Q11" s="22">
        <f>P11*K11</f>
        <v>1.85</v>
      </c>
      <c r="R11" s="22">
        <v>0.29299999999999998</v>
      </c>
      <c r="S11" s="55">
        <f>R11*L11</f>
        <v>7.3249999999999993</v>
      </c>
      <c r="T11" s="22">
        <v>0.13139999999999999</v>
      </c>
      <c r="U11" s="55">
        <f>T11*M11</f>
        <v>13.139999999999999</v>
      </c>
      <c r="V11" s="40"/>
    </row>
    <row r="12" spans="1:22" ht="15.75" thickBot="1" x14ac:dyDescent="0.3">
      <c r="A12" s="1">
        <v>10</v>
      </c>
      <c r="B12" s="6" t="s">
        <v>175</v>
      </c>
      <c r="C12" s="64" t="s">
        <v>174</v>
      </c>
      <c r="D12" s="52" t="s">
        <v>46</v>
      </c>
      <c r="E12" s="24" t="s">
        <v>47</v>
      </c>
      <c r="F12" s="24" t="s">
        <v>45</v>
      </c>
      <c r="G12" s="24" t="s">
        <v>48</v>
      </c>
      <c r="H12" s="35" t="s">
        <v>173</v>
      </c>
      <c r="I12" s="24"/>
      <c r="J12" s="25">
        <v>1</v>
      </c>
      <c r="K12" s="25">
        <f>J12*5</f>
        <v>5</v>
      </c>
      <c r="L12" s="25">
        <f t="shared" si="0"/>
        <v>25</v>
      </c>
      <c r="M12" s="25">
        <f t="shared" si="1"/>
        <v>100</v>
      </c>
      <c r="N12" s="26">
        <v>0.192</v>
      </c>
      <c r="O12" s="27">
        <f>N12*J12</f>
        <v>0.192</v>
      </c>
      <c r="P12" s="26">
        <v>0.192</v>
      </c>
      <c r="Q12" s="27">
        <f>P12*K12</f>
        <v>0.96</v>
      </c>
      <c r="R12" s="27">
        <v>9.1999999999999998E-2</v>
      </c>
      <c r="S12" s="65">
        <f>R12*L12</f>
        <v>2.2999999999999998</v>
      </c>
      <c r="T12" s="27">
        <v>7.0000000000000007E-2</v>
      </c>
      <c r="U12" s="65">
        <f>T12*M12</f>
        <v>7.0000000000000009</v>
      </c>
      <c r="V12" s="41"/>
    </row>
    <row r="13" spans="1:22" ht="15.75" thickBot="1" x14ac:dyDescent="0.3">
      <c r="A13" s="1">
        <v>11</v>
      </c>
      <c r="B13" s="6" t="s">
        <v>155</v>
      </c>
      <c r="C13" s="64" t="s">
        <v>59</v>
      </c>
      <c r="D13" s="52" t="s">
        <v>60</v>
      </c>
      <c r="E13" s="24" t="s">
        <v>61</v>
      </c>
      <c r="F13" s="24" t="s">
        <v>58</v>
      </c>
      <c r="G13" s="24" t="s">
        <v>62</v>
      </c>
      <c r="H13" s="35" t="s">
        <v>173</v>
      </c>
      <c r="I13" s="24"/>
      <c r="J13" s="25">
        <v>2</v>
      </c>
      <c r="K13" s="25">
        <f>J13*5</f>
        <v>10</v>
      </c>
      <c r="L13" s="25">
        <f t="shared" si="0"/>
        <v>50</v>
      </c>
      <c r="M13" s="25">
        <f t="shared" si="1"/>
        <v>200</v>
      </c>
      <c r="N13" s="27">
        <v>0.14000000000000001</v>
      </c>
      <c r="O13" s="27">
        <f>N13*J13</f>
        <v>0.28000000000000003</v>
      </c>
      <c r="P13" s="27">
        <v>0.125</v>
      </c>
      <c r="Q13" s="27">
        <f>P13*K13</f>
        <v>1.25</v>
      </c>
      <c r="R13" s="27">
        <v>0.1192</v>
      </c>
      <c r="S13" s="65">
        <f>R13*L13</f>
        <v>5.96</v>
      </c>
      <c r="T13" s="27">
        <v>6.8199999999999997E-2</v>
      </c>
      <c r="U13" s="65">
        <f>T13*M13</f>
        <v>13.639999999999999</v>
      </c>
      <c r="V13" s="41"/>
    </row>
    <row r="14" spans="1:22" ht="15.75" thickBot="1" x14ac:dyDescent="0.3">
      <c r="A14" s="1">
        <v>12</v>
      </c>
      <c r="B14" s="61" t="s">
        <v>156</v>
      </c>
      <c r="C14" s="56" t="s">
        <v>64</v>
      </c>
      <c r="D14" s="49" t="s">
        <v>65</v>
      </c>
      <c r="E14" s="13" t="s">
        <v>66</v>
      </c>
      <c r="F14" s="13" t="s">
        <v>67</v>
      </c>
      <c r="G14" s="13" t="s">
        <v>68</v>
      </c>
      <c r="H14" s="36" t="s">
        <v>176</v>
      </c>
      <c r="I14" s="13" t="s">
        <v>63</v>
      </c>
      <c r="J14" s="14">
        <v>1</v>
      </c>
      <c r="K14" s="14">
        <f>J14*5</f>
        <v>5</v>
      </c>
      <c r="L14" s="14">
        <f t="shared" si="0"/>
        <v>25</v>
      </c>
      <c r="M14" s="14">
        <f t="shared" si="1"/>
        <v>100</v>
      </c>
      <c r="N14" s="15">
        <v>0.1</v>
      </c>
      <c r="O14" s="15">
        <f>N14*J14</f>
        <v>0.1</v>
      </c>
      <c r="P14" s="15">
        <v>0.1</v>
      </c>
      <c r="Q14" s="15">
        <f>P14*K14</f>
        <v>0.5</v>
      </c>
      <c r="R14" s="15">
        <v>2.4E-2</v>
      </c>
      <c r="S14" s="54">
        <f>R14*L14</f>
        <v>0.6</v>
      </c>
      <c r="T14" s="15">
        <v>9.7000000000000003E-3</v>
      </c>
      <c r="U14" s="54">
        <f>T14*M14</f>
        <v>0.97</v>
      </c>
      <c r="V14" s="37"/>
    </row>
    <row r="15" spans="1:22" ht="15.75" thickBot="1" x14ac:dyDescent="0.3">
      <c r="A15" s="1">
        <v>13</v>
      </c>
      <c r="B15" s="62"/>
      <c r="C15" s="58" t="s">
        <v>70</v>
      </c>
      <c r="D15" s="44" t="s">
        <v>71</v>
      </c>
      <c r="E15" s="17" t="s">
        <v>66</v>
      </c>
      <c r="F15" s="17" t="s">
        <v>72</v>
      </c>
      <c r="G15" s="17" t="s">
        <v>68</v>
      </c>
      <c r="H15" s="34" t="s">
        <v>176</v>
      </c>
      <c r="I15" s="17" t="s">
        <v>69</v>
      </c>
      <c r="J15" s="18">
        <v>5</v>
      </c>
      <c r="K15" s="18">
        <f>J15*5</f>
        <v>25</v>
      </c>
      <c r="L15" s="18">
        <f t="shared" si="0"/>
        <v>125</v>
      </c>
      <c r="M15" s="18">
        <f t="shared" si="1"/>
        <v>500</v>
      </c>
      <c r="N15" s="19">
        <v>0.1</v>
      </c>
      <c r="O15" s="19">
        <f>N15*J15</f>
        <v>0.5</v>
      </c>
      <c r="P15" s="19">
        <v>2.4E-2</v>
      </c>
      <c r="Q15" s="19">
        <f>P15*K15</f>
        <v>0.6</v>
      </c>
      <c r="R15" s="19">
        <v>9.7000000000000003E-3</v>
      </c>
      <c r="S15" s="42">
        <f>R15*L15</f>
        <v>1.2125000000000001</v>
      </c>
      <c r="T15" s="19">
        <v>9.7000000000000003E-3</v>
      </c>
      <c r="U15" s="42">
        <f>T15*M15</f>
        <v>4.8500000000000005</v>
      </c>
      <c r="V15" s="39"/>
    </row>
    <row r="16" spans="1:22" ht="15.75" thickBot="1" x14ac:dyDescent="0.3">
      <c r="A16" s="1">
        <v>14</v>
      </c>
      <c r="B16" s="62"/>
      <c r="C16" s="58" t="s">
        <v>179</v>
      </c>
      <c r="D16" s="44" t="s">
        <v>74</v>
      </c>
      <c r="E16" s="17" t="s">
        <v>75</v>
      </c>
      <c r="F16" s="17" t="s">
        <v>76</v>
      </c>
      <c r="G16" s="17" t="s">
        <v>77</v>
      </c>
      <c r="H16" s="34" t="s">
        <v>176</v>
      </c>
      <c r="I16" s="17" t="s">
        <v>73</v>
      </c>
      <c r="J16" s="18">
        <v>1</v>
      </c>
      <c r="K16" s="18">
        <f>J16*5</f>
        <v>5</v>
      </c>
      <c r="L16" s="18">
        <f t="shared" si="0"/>
        <v>25</v>
      </c>
      <c r="M16" s="18">
        <f t="shared" si="1"/>
        <v>100</v>
      </c>
      <c r="N16" s="19">
        <v>0.1</v>
      </c>
      <c r="O16" s="19">
        <f>N16*J16</f>
        <v>0.1</v>
      </c>
      <c r="P16" s="19">
        <v>0.1</v>
      </c>
      <c r="Q16" s="19">
        <f>P16*K16</f>
        <v>0.5</v>
      </c>
      <c r="R16" s="19">
        <v>2.7E-2</v>
      </c>
      <c r="S16" s="42">
        <f>R16*L16</f>
        <v>0.67500000000000004</v>
      </c>
      <c r="T16" s="19">
        <v>1.09E-2</v>
      </c>
      <c r="U16" s="42">
        <f>T16*M16</f>
        <v>1.0900000000000001</v>
      </c>
      <c r="V16" s="39"/>
    </row>
    <row r="17" spans="1:22" ht="15.75" thickBot="1" x14ac:dyDescent="0.3">
      <c r="A17" s="1">
        <v>15</v>
      </c>
      <c r="B17" s="62"/>
      <c r="C17" s="58" t="s">
        <v>177</v>
      </c>
      <c r="D17" s="44" t="s">
        <v>79</v>
      </c>
      <c r="E17" s="17" t="s">
        <v>66</v>
      </c>
      <c r="F17" s="17" t="s">
        <v>80</v>
      </c>
      <c r="G17" s="17" t="s">
        <v>68</v>
      </c>
      <c r="H17" s="34" t="s">
        <v>176</v>
      </c>
      <c r="I17" s="17" t="s">
        <v>78</v>
      </c>
      <c r="J17" s="18">
        <v>2</v>
      </c>
      <c r="K17" s="18">
        <f>J17*5</f>
        <v>10</v>
      </c>
      <c r="L17" s="18">
        <f t="shared" si="0"/>
        <v>50</v>
      </c>
      <c r="M17" s="18">
        <f t="shared" si="1"/>
        <v>200</v>
      </c>
      <c r="N17" s="19">
        <v>0.1</v>
      </c>
      <c r="O17" s="19">
        <f>N17*J17</f>
        <v>0.2</v>
      </c>
      <c r="P17" s="19">
        <v>0.02</v>
      </c>
      <c r="Q17" s="19">
        <f>P17*K17</f>
        <v>0.2</v>
      </c>
      <c r="R17" s="19">
        <v>0.02</v>
      </c>
      <c r="S17" s="42">
        <f>R17*L17</f>
        <v>1</v>
      </c>
      <c r="T17" s="19">
        <v>8.0000000000000002E-3</v>
      </c>
      <c r="U17" s="42">
        <f>T17*M17</f>
        <v>1.6</v>
      </c>
      <c r="V17" s="39"/>
    </row>
    <row r="18" spans="1:22" ht="15.75" thickBot="1" x14ac:dyDescent="0.3">
      <c r="A18" s="1">
        <v>16</v>
      </c>
      <c r="B18" s="62"/>
      <c r="C18" s="58" t="s">
        <v>178</v>
      </c>
      <c r="D18" s="44" t="s">
        <v>82</v>
      </c>
      <c r="E18" s="17" t="s">
        <v>66</v>
      </c>
      <c r="F18" s="17" t="s">
        <v>83</v>
      </c>
      <c r="G18" s="17" t="s">
        <v>68</v>
      </c>
      <c r="H18" s="34" t="s">
        <v>176</v>
      </c>
      <c r="I18" s="17" t="s">
        <v>81</v>
      </c>
      <c r="J18" s="18">
        <v>1</v>
      </c>
      <c r="K18" s="18">
        <f>J18*5</f>
        <v>5</v>
      </c>
      <c r="L18" s="18">
        <f t="shared" si="0"/>
        <v>25</v>
      </c>
      <c r="M18" s="18">
        <f t="shared" si="1"/>
        <v>100</v>
      </c>
      <c r="N18" s="19">
        <v>0.1</v>
      </c>
      <c r="O18" s="19">
        <f>N18*J18</f>
        <v>0.1</v>
      </c>
      <c r="P18" s="19">
        <v>0.1</v>
      </c>
      <c r="Q18" s="19">
        <f>P18*K18</f>
        <v>0.5</v>
      </c>
      <c r="R18" s="19">
        <v>2.4E-2</v>
      </c>
      <c r="S18" s="42">
        <f>R18*L18</f>
        <v>0.6</v>
      </c>
      <c r="T18" s="19">
        <v>9.7000000000000003E-3</v>
      </c>
      <c r="U18" s="42">
        <f>T18*M18</f>
        <v>0.97</v>
      </c>
      <c r="V18" s="39"/>
    </row>
    <row r="19" spans="1:22" ht="15.75" thickBot="1" x14ac:dyDescent="0.3">
      <c r="A19" s="1">
        <v>17</v>
      </c>
      <c r="B19" s="62"/>
      <c r="C19" s="58" t="s">
        <v>84</v>
      </c>
      <c r="D19" s="44" t="s">
        <v>85</v>
      </c>
      <c r="E19" s="17" t="s">
        <v>66</v>
      </c>
      <c r="F19" s="17" t="s">
        <v>87</v>
      </c>
      <c r="G19" s="17" t="s">
        <v>86</v>
      </c>
      <c r="H19" s="34" t="s">
        <v>176</v>
      </c>
      <c r="I19" s="17" t="s">
        <v>180</v>
      </c>
      <c r="J19" s="18">
        <v>2</v>
      </c>
      <c r="K19" s="18">
        <f>J19*5</f>
        <v>10</v>
      </c>
      <c r="L19" s="18">
        <f t="shared" si="0"/>
        <v>50</v>
      </c>
      <c r="M19" s="18">
        <f t="shared" si="1"/>
        <v>200</v>
      </c>
      <c r="N19" s="19">
        <v>0.1</v>
      </c>
      <c r="O19" s="19">
        <f>N19*J19</f>
        <v>0.2</v>
      </c>
      <c r="P19" s="19">
        <v>0.02</v>
      </c>
      <c r="Q19" s="19">
        <f>P19*K19</f>
        <v>0.2</v>
      </c>
      <c r="R19" s="19">
        <v>0.02</v>
      </c>
      <c r="S19" s="42">
        <f>R19*L19</f>
        <v>1</v>
      </c>
      <c r="T19" s="19">
        <v>8.0999999999999996E-3</v>
      </c>
      <c r="U19" s="42">
        <f>T19*M19</f>
        <v>1.6199999999999999</v>
      </c>
      <c r="V19" s="39"/>
    </row>
    <row r="20" spans="1:22" ht="15.75" thickBot="1" x14ac:dyDescent="0.3">
      <c r="A20" s="1">
        <v>18</v>
      </c>
      <c r="B20" s="63"/>
      <c r="C20" s="59" t="s">
        <v>88</v>
      </c>
      <c r="D20" s="51" t="s">
        <v>89</v>
      </c>
      <c r="E20" s="20" t="s">
        <v>75</v>
      </c>
      <c r="F20" s="20" t="s">
        <v>90</v>
      </c>
      <c r="G20" s="20" t="s">
        <v>68</v>
      </c>
      <c r="H20" s="43" t="s">
        <v>176</v>
      </c>
      <c r="I20" s="20" t="s">
        <v>78</v>
      </c>
      <c r="J20" s="21">
        <v>2</v>
      </c>
      <c r="K20" s="21">
        <f>J20*5</f>
        <v>10</v>
      </c>
      <c r="L20" s="21">
        <f t="shared" si="0"/>
        <v>50</v>
      </c>
      <c r="M20" s="21">
        <f t="shared" si="1"/>
        <v>200</v>
      </c>
      <c r="N20" s="22">
        <v>0.1</v>
      </c>
      <c r="O20" s="22">
        <f>N20*J20</f>
        <v>0.2</v>
      </c>
      <c r="P20" s="22">
        <v>4.2000000000000003E-2</v>
      </c>
      <c r="Q20" s="22">
        <f>P20*K20</f>
        <v>0.42000000000000004</v>
      </c>
      <c r="R20" s="22">
        <v>4.2000000000000003E-2</v>
      </c>
      <c r="S20" s="55">
        <f>R20*L20</f>
        <v>2.1</v>
      </c>
      <c r="T20" s="22">
        <v>1.7000000000000001E-2</v>
      </c>
      <c r="U20" s="55">
        <f>T20*M20</f>
        <v>3.4000000000000004</v>
      </c>
      <c r="V20" s="40"/>
    </row>
    <row r="21" spans="1:22" ht="15.75" thickBot="1" x14ac:dyDescent="0.3">
      <c r="A21" s="1">
        <v>19</v>
      </c>
      <c r="B21" s="6" t="s">
        <v>157</v>
      </c>
      <c r="C21" s="64" t="s">
        <v>92</v>
      </c>
      <c r="D21" s="52" t="s">
        <v>93</v>
      </c>
      <c r="E21" s="24" t="s">
        <v>166</v>
      </c>
      <c r="F21" s="24" t="s">
        <v>91</v>
      </c>
      <c r="G21" s="24" t="s">
        <v>94</v>
      </c>
      <c r="H21" s="35" t="s">
        <v>176</v>
      </c>
      <c r="I21" s="24" t="s">
        <v>187</v>
      </c>
      <c r="J21" s="25">
        <v>1</v>
      </c>
      <c r="K21" s="25">
        <f>J21*5</f>
        <v>5</v>
      </c>
      <c r="L21" s="25">
        <f t="shared" si="0"/>
        <v>25</v>
      </c>
      <c r="M21" s="25">
        <f t="shared" si="1"/>
        <v>100</v>
      </c>
      <c r="N21" s="27">
        <v>0.96</v>
      </c>
      <c r="O21" s="27">
        <f>N21*J21</f>
        <v>0.96</v>
      </c>
      <c r="P21" s="27">
        <v>0.96</v>
      </c>
      <c r="Q21" s="27">
        <f>P21*K21</f>
        <v>4.8</v>
      </c>
      <c r="R21" s="27">
        <v>0.86639999999999995</v>
      </c>
      <c r="S21" s="65">
        <f>R21*L21</f>
        <v>21.66</v>
      </c>
      <c r="T21" s="27">
        <v>0.75219999999999998</v>
      </c>
      <c r="U21" s="65">
        <f>T21*M21</f>
        <v>75.22</v>
      </c>
      <c r="V21" s="41"/>
    </row>
    <row r="22" spans="1:22" ht="15.75" thickBot="1" x14ac:dyDescent="0.3">
      <c r="A22" s="1">
        <v>20</v>
      </c>
      <c r="B22" s="61" t="s">
        <v>158</v>
      </c>
      <c r="C22" s="56" t="s">
        <v>129</v>
      </c>
      <c r="D22" s="49" t="s">
        <v>130</v>
      </c>
      <c r="E22" s="13" t="s">
        <v>166</v>
      </c>
      <c r="F22" s="13" t="s">
        <v>131</v>
      </c>
      <c r="G22" s="13" t="s">
        <v>132</v>
      </c>
      <c r="H22" s="36" t="s">
        <v>176</v>
      </c>
      <c r="I22" s="13" t="s">
        <v>128</v>
      </c>
      <c r="J22" s="14">
        <v>1</v>
      </c>
      <c r="K22" s="14">
        <f>J22*5</f>
        <v>5</v>
      </c>
      <c r="L22" s="14">
        <f t="shared" si="0"/>
        <v>25</v>
      </c>
      <c r="M22" s="14">
        <f t="shared" si="1"/>
        <v>100</v>
      </c>
      <c r="N22" s="15">
        <v>0.6</v>
      </c>
      <c r="O22" s="15">
        <f>N22*J22</f>
        <v>0.6</v>
      </c>
      <c r="P22" s="15">
        <v>0.6</v>
      </c>
      <c r="Q22" s="15">
        <f>P22*K22</f>
        <v>3</v>
      </c>
      <c r="R22" s="15">
        <v>0.5</v>
      </c>
      <c r="S22" s="54">
        <f>R22*L22</f>
        <v>12.5</v>
      </c>
      <c r="T22" s="15">
        <v>0.4</v>
      </c>
      <c r="U22" s="54">
        <f>T22*M22</f>
        <v>40</v>
      </c>
      <c r="V22" s="37"/>
    </row>
    <row r="23" spans="1:22" ht="15.75" thickBot="1" x14ac:dyDescent="0.3">
      <c r="A23" s="1">
        <v>21</v>
      </c>
      <c r="B23" s="63"/>
      <c r="C23" s="59" t="s">
        <v>134</v>
      </c>
      <c r="D23" s="51" t="s">
        <v>135</v>
      </c>
      <c r="E23" s="20" t="s">
        <v>166</v>
      </c>
      <c r="F23" s="20" t="s">
        <v>133</v>
      </c>
      <c r="G23" s="20" t="s">
        <v>136</v>
      </c>
      <c r="H23" s="43" t="s">
        <v>176</v>
      </c>
      <c r="I23" s="20" t="s">
        <v>187</v>
      </c>
      <c r="J23" s="21">
        <v>1</v>
      </c>
      <c r="K23" s="21">
        <f>J23*5</f>
        <v>5</v>
      </c>
      <c r="L23" s="21">
        <f t="shared" si="0"/>
        <v>25</v>
      </c>
      <c r="M23" s="21">
        <f t="shared" si="1"/>
        <v>100</v>
      </c>
      <c r="N23" s="22">
        <v>0.8</v>
      </c>
      <c r="O23" s="22">
        <f>N23*J23</f>
        <v>0.8</v>
      </c>
      <c r="P23" s="22">
        <v>0.8</v>
      </c>
      <c r="Q23" s="22">
        <f>P23*K23</f>
        <v>4</v>
      </c>
      <c r="R23" s="22">
        <v>0.75900000000000001</v>
      </c>
      <c r="S23" s="55">
        <f>R23*L23</f>
        <v>18.975000000000001</v>
      </c>
      <c r="T23" s="22">
        <v>0.627</v>
      </c>
      <c r="U23" s="55">
        <f>T23*M23</f>
        <v>62.7</v>
      </c>
      <c r="V23" s="40"/>
    </row>
    <row r="24" spans="1:22" ht="15.75" thickBot="1" x14ac:dyDescent="0.3">
      <c r="A24" s="1">
        <v>22</v>
      </c>
      <c r="B24" s="61" t="s">
        <v>159</v>
      </c>
      <c r="C24" s="56" t="s">
        <v>96</v>
      </c>
      <c r="D24" s="49" t="s">
        <v>97</v>
      </c>
      <c r="E24" s="13" t="s">
        <v>98</v>
      </c>
      <c r="F24" s="13" t="s">
        <v>95</v>
      </c>
      <c r="G24" s="13" t="s">
        <v>99</v>
      </c>
      <c r="H24" s="36" t="s">
        <v>176</v>
      </c>
      <c r="I24" s="13" t="s">
        <v>187</v>
      </c>
      <c r="J24" s="14">
        <v>1</v>
      </c>
      <c r="K24" s="14">
        <f>J24*5</f>
        <v>5</v>
      </c>
      <c r="L24" s="14">
        <f t="shared" si="0"/>
        <v>25</v>
      </c>
      <c r="M24" s="14">
        <f t="shared" si="1"/>
        <v>100</v>
      </c>
      <c r="N24" s="28">
        <v>50.5</v>
      </c>
      <c r="O24" s="15">
        <f>N24*J24</f>
        <v>50.5</v>
      </c>
      <c r="P24" s="28">
        <v>50.5</v>
      </c>
      <c r="Q24" s="15">
        <f>P24*K24</f>
        <v>252.5</v>
      </c>
      <c r="R24" s="15">
        <v>50.5</v>
      </c>
      <c r="S24" s="54">
        <f>R24*L24</f>
        <v>1262.5</v>
      </c>
      <c r="T24" s="15">
        <v>50.5</v>
      </c>
      <c r="U24" s="54">
        <f>T24*M24</f>
        <v>5050</v>
      </c>
      <c r="V24" s="68" t="s">
        <v>162</v>
      </c>
    </row>
    <row r="25" spans="1:22" ht="15.75" thickBot="1" x14ac:dyDescent="0.3">
      <c r="A25" s="1">
        <v>23</v>
      </c>
      <c r="B25" s="62"/>
      <c r="C25" s="60" t="s">
        <v>101</v>
      </c>
      <c r="D25" s="44" t="s">
        <v>102</v>
      </c>
      <c r="E25" s="44" t="s">
        <v>103</v>
      </c>
      <c r="F25" s="44" t="s">
        <v>100</v>
      </c>
      <c r="G25" s="44" t="s">
        <v>104</v>
      </c>
      <c r="H25" s="48" t="s">
        <v>176</v>
      </c>
      <c r="I25" s="44" t="s">
        <v>187</v>
      </c>
      <c r="J25" s="45">
        <v>1</v>
      </c>
      <c r="K25" s="45">
        <f>J25*5</f>
        <v>5</v>
      </c>
      <c r="L25" s="45">
        <f t="shared" si="0"/>
        <v>25</v>
      </c>
      <c r="M25" s="45">
        <f t="shared" si="1"/>
        <v>100</v>
      </c>
      <c r="N25" s="46">
        <v>2.02</v>
      </c>
      <c r="O25" s="46">
        <f>N25*J25</f>
        <v>2.02</v>
      </c>
      <c r="P25" s="46">
        <v>2.02</v>
      </c>
      <c r="Q25" s="46">
        <f>P25*K25</f>
        <v>10.1</v>
      </c>
      <c r="R25" s="46">
        <v>1.74</v>
      </c>
      <c r="S25" s="47">
        <f>R25*L25</f>
        <v>43.5</v>
      </c>
      <c r="T25" s="46">
        <v>1.48</v>
      </c>
      <c r="U25" s="42">
        <f>T25*M25</f>
        <v>148</v>
      </c>
      <c r="V25" s="53"/>
    </row>
    <row r="26" spans="1:22" ht="15.75" thickBot="1" x14ac:dyDescent="0.3">
      <c r="A26" s="1">
        <v>24</v>
      </c>
      <c r="B26" s="62"/>
      <c r="C26" s="58" t="s">
        <v>106</v>
      </c>
      <c r="D26" s="44" t="s">
        <v>107</v>
      </c>
      <c r="E26" s="17" t="s">
        <v>108</v>
      </c>
      <c r="F26" s="17" t="s">
        <v>105</v>
      </c>
      <c r="G26" s="17" t="s">
        <v>109</v>
      </c>
      <c r="H26" s="48" t="s">
        <v>176</v>
      </c>
      <c r="I26" s="17" t="s">
        <v>187</v>
      </c>
      <c r="J26" s="18">
        <v>1</v>
      </c>
      <c r="K26" s="18">
        <f>J26*5</f>
        <v>5</v>
      </c>
      <c r="L26" s="18">
        <f t="shared" si="0"/>
        <v>25</v>
      </c>
      <c r="M26" s="18">
        <f t="shared" si="1"/>
        <v>100</v>
      </c>
      <c r="N26" s="29">
        <v>10.4</v>
      </c>
      <c r="O26" s="19">
        <f>N26*J26</f>
        <v>10.4</v>
      </c>
      <c r="P26" s="29">
        <v>8.9499999999999993</v>
      </c>
      <c r="Q26" s="19">
        <f>P26*K26</f>
        <v>44.75</v>
      </c>
      <c r="R26" s="19">
        <v>8.19</v>
      </c>
      <c r="S26" s="42">
        <f>R26*L26</f>
        <v>204.75</v>
      </c>
      <c r="T26" s="19">
        <v>7.1</v>
      </c>
      <c r="U26" s="42">
        <f>T26*M26</f>
        <v>710</v>
      </c>
      <c r="V26" s="39"/>
    </row>
    <row r="27" spans="1:22" ht="15.75" thickBot="1" x14ac:dyDescent="0.3">
      <c r="A27" s="1">
        <v>25</v>
      </c>
      <c r="B27" s="62"/>
      <c r="C27" s="58" t="s">
        <v>111</v>
      </c>
      <c r="D27" s="44" t="s">
        <v>112</v>
      </c>
      <c r="E27" s="17" t="s">
        <v>113</v>
      </c>
      <c r="F27" s="17" t="s">
        <v>110</v>
      </c>
      <c r="G27" s="17" t="s">
        <v>114</v>
      </c>
      <c r="H27" s="48" t="s">
        <v>176</v>
      </c>
      <c r="I27" s="17" t="s">
        <v>187</v>
      </c>
      <c r="J27" s="18">
        <v>1</v>
      </c>
      <c r="K27" s="18">
        <f>J27*5</f>
        <v>5</v>
      </c>
      <c r="L27" s="18">
        <f t="shared" si="0"/>
        <v>25</v>
      </c>
      <c r="M27" s="18">
        <f t="shared" si="1"/>
        <v>100</v>
      </c>
      <c r="N27" s="19">
        <v>13.55</v>
      </c>
      <c r="O27" s="19">
        <f>N27*J27</f>
        <v>13.55</v>
      </c>
      <c r="P27" s="19">
        <v>8.8000000000000007</v>
      </c>
      <c r="Q27" s="19">
        <f>P27*K27</f>
        <v>44</v>
      </c>
      <c r="R27" s="19">
        <v>7.04</v>
      </c>
      <c r="S27" s="42">
        <f>R27*L27</f>
        <v>176</v>
      </c>
      <c r="T27" s="19">
        <v>5.6319999999999997</v>
      </c>
      <c r="U27" s="42">
        <f>T27*M27</f>
        <v>563.19999999999993</v>
      </c>
      <c r="V27" s="67" t="s">
        <v>162</v>
      </c>
    </row>
    <row r="28" spans="1:22" ht="15.75" thickBot="1" x14ac:dyDescent="0.3">
      <c r="A28" s="1">
        <v>26</v>
      </c>
      <c r="B28" s="62"/>
      <c r="C28" s="58" t="s">
        <v>116</v>
      </c>
      <c r="D28" s="44" t="s">
        <v>117</v>
      </c>
      <c r="E28" s="17" t="s">
        <v>118</v>
      </c>
      <c r="F28" s="17" t="s">
        <v>115</v>
      </c>
      <c r="G28" s="17" t="s">
        <v>104</v>
      </c>
      <c r="H28" s="48" t="s">
        <v>176</v>
      </c>
      <c r="I28" s="17" t="s">
        <v>187</v>
      </c>
      <c r="J28" s="18">
        <v>1</v>
      </c>
      <c r="K28" s="18">
        <f>J28*5</f>
        <v>5</v>
      </c>
      <c r="L28" s="18">
        <f t="shared" si="0"/>
        <v>25</v>
      </c>
      <c r="M28" s="18">
        <f t="shared" si="1"/>
        <v>100</v>
      </c>
      <c r="N28" s="19">
        <v>0.47</v>
      </c>
      <c r="O28" s="19">
        <f>N28*J28</f>
        <v>0.47</v>
      </c>
      <c r="P28" s="19">
        <v>0.47</v>
      </c>
      <c r="Q28" s="19">
        <f>P28*K28</f>
        <v>2.3499999999999996</v>
      </c>
      <c r="R28" s="19">
        <v>0.3508</v>
      </c>
      <c r="S28" s="42">
        <f>R28*L28</f>
        <v>8.77</v>
      </c>
      <c r="T28" s="19">
        <v>0.26119999999999999</v>
      </c>
      <c r="U28" s="42">
        <f>T28*M28</f>
        <v>26.119999999999997</v>
      </c>
      <c r="V28" s="67" t="s">
        <v>150</v>
      </c>
    </row>
    <row r="29" spans="1:22" ht="15.75" thickBot="1" x14ac:dyDescent="0.3">
      <c r="A29" s="1">
        <v>27</v>
      </c>
      <c r="B29" s="62"/>
      <c r="C29" s="58" t="s">
        <v>120</v>
      </c>
      <c r="D29" s="44" t="s">
        <v>121</v>
      </c>
      <c r="E29" s="17" t="s">
        <v>122</v>
      </c>
      <c r="F29" s="17" t="s">
        <v>119</v>
      </c>
      <c r="G29" s="17" t="s">
        <v>123</v>
      </c>
      <c r="H29" s="48" t="s">
        <v>176</v>
      </c>
      <c r="I29" s="17" t="s">
        <v>187</v>
      </c>
      <c r="J29" s="18">
        <v>1</v>
      </c>
      <c r="K29" s="18">
        <f>J29*5</f>
        <v>5</v>
      </c>
      <c r="L29" s="18">
        <f t="shared" si="0"/>
        <v>25</v>
      </c>
      <c r="M29" s="18">
        <f t="shared" si="1"/>
        <v>100</v>
      </c>
      <c r="N29" s="19">
        <v>0.9</v>
      </c>
      <c r="O29" s="19">
        <f>N29*J29</f>
        <v>0.9</v>
      </c>
      <c r="P29" s="19">
        <v>0.9</v>
      </c>
      <c r="Q29" s="19">
        <f>P29*K29</f>
        <v>4.5</v>
      </c>
      <c r="R29" s="19">
        <v>0.75280000000000002</v>
      </c>
      <c r="S29" s="42">
        <f>R29*L29</f>
        <v>18.82</v>
      </c>
      <c r="T29" s="19">
        <v>0.70499999999999996</v>
      </c>
      <c r="U29" s="42">
        <f>T29*M29</f>
        <v>70.5</v>
      </c>
      <c r="V29" s="67" t="s">
        <v>150</v>
      </c>
    </row>
    <row r="30" spans="1:22" ht="15.75" thickBot="1" x14ac:dyDescent="0.3">
      <c r="A30" s="1">
        <v>28</v>
      </c>
      <c r="B30" s="63"/>
      <c r="C30" s="59" t="s">
        <v>125</v>
      </c>
      <c r="D30" s="51" t="s">
        <v>126</v>
      </c>
      <c r="E30" s="20" t="s">
        <v>127</v>
      </c>
      <c r="F30" s="20" t="s">
        <v>124</v>
      </c>
      <c r="G30" s="20" t="s">
        <v>40</v>
      </c>
      <c r="H30" s="66" t="s">
        <v>176</v>
      </c>
      <c r="I30" s="20" t="s">
        <v>187</v>
      </c>
      <c r="J30" s="21">
        <v>1</v>
      </c>
      <c r="K30" s="21">
        <f>J30*5</f>
        <v>5</v>
      </c>
      <c r="L30" s="21">
        <f t="shared" si="0"/>
        <v>25</v>
      </c>
      <c r="M30" s="21">
        <f t="shared" si="1"/>
        <v>100</v>
      </c>
      <c r="N30" s="22">
        <v>0.47</v>
      </c>
      <c r="O30" s="22">
        <f>N30*J30</f>
        <v>0.47</v>
      </c>
      <c r="P30" s="22">
        <v>0.47</v>
      </c>
      <c r="Q30" s="22">
        <f>P30*K30</f>
        <v>2.3499999999999996</v>
      </c>
      <c r="R30" s="22">
        <v>0.4244</v>
      </c>
      <c r="S30" s="55">
        <f>R30*L30</f>
        <v>10.61</v>
      </c>
      <c r="T30" s="22">
        <v>0.37490000000000001</v>
      </c>
      <c r="U30" s="55">
        <f>T30*M30</f>
        <v>37.49</v>
      </c>
      <c r="V30" s="40"/>
    </row>
    <row r="31" spans="1:22" ht="15.75" thickBot="1" x14ac:dyDescent="0.3">
      <c r="A31" s="1">
        <v>29</v>
      </c>
      <c r="B31" s="61" t="s">
        <v>160</v>
      </c>
      <c r="C31" s="56" t="s">
        <v>42</v>
      </c>
      <c r="D31" s="49" t="s">
        <v>43</v>
      </c>
      <c r="E31" s="13" t="s">
        <v>166</v>
      </c>
      <c r="F31" s="13" t="s">
        <v>41</v>
      </c>
      <c r="G31" s="13" t="s">
        <v>44</v>
      </c>
      <c r="H31" s="36" t="s">
        <v>176</v>
      </c>
      <c r="I31" s="13" t="s">
        <v>188</v>
      </c>
      <c r="J31" s="14">
        <v>1</v>
      </c>
      <c r="K31" s="14">
        <f>J31*5</f>
        <v>5</v>
      </c>
      <c r="L31" s="14">
        <f t="shared" si="0"/>
        <v>25</v>
      </c>
      <c r="M31" s="14">
        <f t="shared" si="1"/>
        <v>100</v>
      </c>
      <c r="N31" s="30">
        <v>1.27</v>
      </c>
      <c r="O31" s="15">
        <f>N31*J31</f>
        <v>1.27</v>
      </c>
      <c r="P31" s="30">
        <v>1.27</v>
      </c>
      <c r="Q31" s="15">
        <f>P31*K31</f>
        <v>6.35</v>
      </c>
      <c r="R31" s="15">
        <v>1.17</v>
      </c>
      <c r="S31" s="54">
        <f>R31*L31</f>
        <v>29.25</v>
      </c>
      <c r="T31" s="15">
        <v>1.17</v>
      </c>
      <c r="U31" s="54">
        <f>T31*M31</f>
        <v>117</v>
      </c>
      <c r="V31" s="37"/>
    </row>
    <row r="32" spans="1:22" ht="15.75" thickBot="1" x14ac:dyDescent="0.3">
      <c r="A32" s="69">
        <v>30</v>
      </c>
      <c r="B32" s="63"/>
      <c r="C32" s="59" t="s">
        <v>55</v>
      </c>
      <c r="D32" s="51" t="s">
        <v>56</v>
      </c>
      <c r="E32" s="20" t="s">
        <v>166</v>
      </c>
      <c r="F32" s="20" t="s">
        <v>54</v>
      </c>
      <c r="G32" s="20" t="s">
        <v>57</v>
      </c>
      <c r="H32" s="43" t="s">
        <v>176</v>
      </c>
      <c r="I32" s="20" t="s">
        <v>187</v>
      </c>
      <c r="J32" s="21">
        <v>1</v>
      </c>
      <c r="K32" s="21">
        <f>J32*5</f>
        <v>5</v>
      </c>
      <c r="L32" s="21">
        <f t="shared" si="0"/>
        <v>25</v>
      </c>
      <c r="M32" s="21">
        <f t="shared" si="1"/>
        <v>100</v>
      </c>
      <c r="N32" s="21">
        <v>0.41</v>
      </c>
      <c r="O32" s="22">
        <f>N32*J32</f>
        <v>0.41</v>
      </c>
      <c r="P32" s="22">
        <v>0.41</v>
      </c>
      <c r="Q32" s="22">
        <f>P32*K32</f>
        <v>2.0499999999999998</v>
      </c>
      <c r="R32" s="22">
        <v>0.33360000000000001</v>
      </c>
      <c r="S32" s="55">
        <f>R32*L32</f>
        <v>8.34</v>
      </c>
      <c r="T32" s="22">
        <v>0.27239999999999998</v>
      </c>
      <c r="U32" s="55">
        <f>T32*M32</f>
        <v>27.24</v>
      </c>
      <c r="V32" s="40"/>
    </row>
    <row r="33" spans="10:21" ht="19.5" thickBot="1" x14ac:dyDescent="0.35">
      <c r="J33" s="7" t="s">
        <v>163</v>
      </c>
      <c r="K33" s="7"/>
      <c r="L33" s="7"/>
      <c r="M33" s="7"/>
      <c r="N33" s="7"/>
      <c r="Q33" s="3">
        <f>SUM(Q3:Q32)</f>
        <v>403.34000000000009</v>
      </c>
      <c r="R33" s="3"/>
      <c r="S33" s="3">
        <f>SUM(S3:S32)</f>
        <v>1891.5874999999996</v>
      </c>
      <c r="T33" s="3"/>
      <c r="U33" s="3">
        <f>SUM(U3:U32)</f>
        <v>7126.9899999999989</v>
      </c>
    </row>
    <row r="34" spans="10:21" ht="18.75" x14ac:dyDescent="0.3">
      <c r="J34" s="8" t="s">
        <v>164</v>
      </c>
      <c r="K34" s="8"/>
      <c r="L34" s="8"/>
      <c r="M34" s="8"/>
      <c r="N34" s="8"/>
      <c r="O34" s="2">
        <f>SUM(O3:O32)</f>
        <v>88.503999999999991</v>
      </c>
      <c r="Q34" s="4">
        <f>Q33/5</f>
        <v>80.668000000000021</v>
      </c>
      <c r="R34" s="4"/>
      <c r="S34" s="4">
        <f>S33/25</f>
        <v>75.663499999999985</v>
      </c>
      <c r="T34" s="4"/>
      <c r="U34" s="4">
        <f>U33/100</f>
        <v>71.269899999999993</v>
      </c>
    </row>
  </sheetData>
  <mergeCells count="9">
    <mergeCell ref="J33:N33"/>
    <mergeCell ref="J34:N34"/>
    <mergeCell ref="B31:B32"/>
    <mergeCell ref="A1:V1"/>
    <mergeCell ref="B3:B8"/>
    <mergeCell ref="B9:B11"/>
    <mergeCell ref="B14:B20"/>
    <mergeCell ref="B22:B23"/>
    <mergeCell ref="B24:B30"/>
  </mergeCells>
  <conditionalFormatting sqref="J3:M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O3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Q3:U32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O34:U3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O3:O32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Q3:U32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O34:U34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2021-07-08T08:22:22Z</dcterms:created>
  <dcterms:modified xsi:type="dcterms:W3CDTF">2021-07-24T11:13:59Z</dcterms:modified>
</cp:coreProperties>
</file>