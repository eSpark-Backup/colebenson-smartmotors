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6"/>
  <workbookPr/>
  <mc:AlternateContent xmlns:mc="http://schemas.openxmlformats.org/markup-compatibility/2006">
    <mc:Choice Requires="x15">
      <x15ac:absPath xmlns:x15ac="http://schemas.microsoft.com/office/spreadsheetml/2010/11/ac" url="F:\Github\ColeBenson-SmartMotors\Deliverables\SM_Bottom Board\_BOM\"/>
    </mc:Choice>
  </mc:AlternateContent>
  <xr:revisionPtr revIDLastSave="0" documentId="13_ncr:1_{4519BEB3-DAB6-4B79-8580-32C2AD1E0579}" xr6:coauthVersionLast="36" xr6:coauthVersionMax="47" xr10:uidLastSave="{00000000-0000-0000-0000-000000000000}"/>
  <bookViews>
    <workbookView xWindow="-5085" yWindow="7680" windowWidth="10335" windowHeight="10620" xr2:uid="{00000000-000D-0000-FFFF-FFFF00000000}"/>
  </bookViews>
  <sheets>
    <sheet name="SM_Bottom_Board" sheetId="1" r:id="rId1"/>
  </sheets>
  <definedNames>
    <definedName name="_xlnm.Print_Titles" localSheetId="0">SM_Bottom_Board!#REF!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3" i="1" l="1"/>
  <c r="M4" i="1" l="1"/>
  <c r="U4" i="1" s="1"/>
  <c r="M5" i="1"/>
  <c r="U5" i="1" s="1"/>
  <c r="M6" i="1"/>
  <c r="U6" i="1" s="1"/>
  <c r="M7" i="1"/>
  <c r="U7" i="1" s="1"/>
  <c r="M8" i="1"/>
  <c r="U8" i="1" s="1"/>
  <c r="M9" i="1"/>
  <c r="U9" i="1" s="1"/>
  <c r="M10" i="1"/>
  <c r="U10" i="1" s="1"/>
  <c r="M11" i="1"/>
  <c r="U11" i="1" s="1"/>
  <c r="M12" i="1"/>
  <c r="U12" i="1" s="1"/>
  <c r="M13" i="1"/>
  <c r="U13" i="1" s="1"/>
  <c r="M14" i="1"/>
  <c r="U14" i="1" s="1"/>
  <c r="M15" i="1"/>
  <c r="U15" i="1" s="1"/>
  <c r="M16" i="1"/>
  <c r="U16" i="1" s="1"/>
  <c r="M17" i="1"/>
  <c r="U17" i="1" s="1"/>
  <c r="M18" i="1"/>
  <c r="U18" i="1" s="1"/>
  <c r="M19" i="1"/>
  <c r="U19" i="1" s="1"/>
  <c r="M20" i="1"/>
  <c r="U20" i="1" s="1"/>
  <c r="M21" i="1"/>
  <c r="U21" i="1" s="1"/>
  <c r="M22" i="1"/>
  <c r="U22" i="1" s="1"/>
  <c r="M23" i="1"/>
  <c r="U23" i="1" s="1"/>
  <c r="M24" i="1"/>
  <c r="U24" i="1" s="1"/>
  <c r="M25" i="1"/>
  <c r="U25" i="1" s="1"/>
  <c r="M26" i="1"/>
  <c r="U26" i="1" s="1"/>
  <c r="M27" i="1"/>
  <c r="U27" i="1" s="1"/>
  <c r="M28" i="1"/>
  <c r="U28" i="1" s="1"/>
  <c r="M29" i="1"/>
  <c r="U29" i="1" s="1"/>
  <c r="M30" i="1"/>
  <c r="U30" i="1" s="1"/>
  <c r="M31" i="1"/>
  <c r="U31" i="1" s="1"/>
  <c r="M3" i="1"/>
  <c r="U3" i="1" s="1"/>
  <c r="L4" i="1"/>
  <c r="S4" i="1" s="1"/>
  <c r="L5" i="1"/>
  <c r="S5" i="1" s="1"/>
  <c r="L6" i="1"/>
  <c r="S6" i="1" s="1"/>
  <c r="L7" i="1"/>
  <c r="S7" i="1" s="1"/>
  <c r="L8" i="1"/>
  <c r="S8" i="1" s="1"/>
  <c r="L9" i="1"/>
  <c r="S9" i="1" s="1"/>
  <c r="L10" i="1"/>
  <c r="S10" i="1" s="1"/>
  <c r="L11" i="1"/>
  <c r="S11" i="1" s="1"/>
  <c r="L12" i="1"/>
  <c r="S12" i="1" s="1"/>
  <c r="L13" i="1"/>
  <c r="S13" i="1" s="1"/>
  <c r="L14" i="1"/>
  <c r="S14" i="1" s="1"/>
  <c r="L15" i="1"/>
  <c r="S15" i="1" s="1"/>
  <c r="L16" i="1"/>
  <c r="S16" i="1" s="1"/>
  <c r="L17" i="1"/>
  <c r="S17" i="1" s="1"/>
  <c r="L18" i="1"/>
  <c r="S18" i="1" s="1"/>
  <c r="L19" i="1"/>
  <c r="S19" i="1" s="1"/>
  <c r="L20" i="1"/>
  <c r="S20" i="1" s="1"/>
  <c r="L21" i="1"/>
  <c r="S21" i="1" s="1"/>
  <c r="L22" i="1"/>
  <c r="S22" i="1" s="1"/>
  <c r="L23" i="1"/>
  <c r="S23" i="1" s="1"/>
  <c r="L24" i="1"/>
  <c r="S24" i="1" s="1"/>
  <c r="L25" i="1"/>
  <c r="S25" i="1" s="1"/>
  <c r="L26" i="1"/>
  <c r="S26" i="1" s="1"/>
  <c r="L27" i="1"/>
  <c r="S27" i="1" s="1"/>
  <c r="L28" i="1"/>
  <c r="S28" i="1" s="1"/>
  <c r="L29" i="1"/>
  <c r="S29" i="1" s="1"/>
  <c r="L30" i="1"/>
  <c r="S30" i="1" s="1"/>
  <c r="L31" i="1"/>
  <c r="S31" i="1" s="1"/>
  <c r="L3" i="1"/>
  <c r="S3" i="1" s="1"/>
  <c r="U32" i="1" l="1"/>
  <c r="U33" i="1" s="1"/>
  <c r="S32" i="1"/>
  <c r="S33" i="1" s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" i="1"/>
  <c r="K4" i="1"/>
  <c r="Q4" i="1" s="1"/>
  <c r="K5" i="1"/>
  <c r="Q5" i="1" s="1"/>
  <c r="K6" i="1"/>
  <c r="Q6" i="1" s="1"/>
  <c r="K7" i="1"/>
  <c r="Q7" i="1" s="1"/>
  <c r="K8" i="1"/>
  <c r="Q8" i="1" s="1"/>
  <c r="K9" i="1"/>
  <c r="Q9" i="1" s="1"/>
  <c r="K10" i="1"/>
  <c r="Q10" i="1" s="1"/>
  <c r="K11" i="1"/>
  <c r="Q11" i="1" s="1"/>
  <c r="K12" i="1"/>
  <c r="Q12" i="1" s="1"/>
  <c r="K13" i="1"/>
  <c r="Q13" i="1" s="1"/>
  <c r="K14" i="1"/>
  <c r="Q14" i="1" s="1"/>
  <c r="K15" i="1"/>
  <c r="Q15" i="1" s="1"/>
  <c r="K16" i="1"/>
  <c r="Q16" i="1" s="1"/>
  <c r="K17" i="1"/>
  <c r="Q17" i="1" s="1"/>
  <c r="K18" i="1"/>
  <c r="Q18" i="1" s="1"/>
  <c r="K19" i="1"/>
  <c r="Q19" i="1" s="1"/>
  <c r="K20" i="1"/>
  <c r="Q20" i="1" s="1"/>
  <c r="K21" i="1"/>
  <c r="Q21" i="1" s="1"/>
  <c r="K22" i="1"/>
  <c r="Q22" i="1" s="1"/>
  <c r="K23" i="1"/>
  <c r="Q23" i="1" s="1"/>
  <c r="K24" i="1"/>
  <c r="Q24" i="1" s="1"/>
  <c r="K25" i="1"/>
  <c r="Q25" i="1" s="1"/>
  <c r="K26" i="1"/>
  <c r="Q26" i="1" s="1"/>
  <c r="K27" i="1"/>
  <c r="Q27" i="1" s="1"/>
  <c r="K28" i="1"/>
  <c r="Q28" i="1" s="1"/>
  <c r="K29" i="1"/>
  <c r="Q29" i="1" s="1"/>
  <c r="K30" i="1"/>
  <c r="Q30" i="1" s="1"/>
  <c r="K31" i="1"/>
  <c r="Q31" i="1" s="1"/>
  <c r="K3" i="1"/>
  <c r="Q3" i="1" s="1"/>
  <c r="Q32" i="1" l="1"/>
  <c r="Q33" i="1" s="1"/>
</calcChain>
</file>

<file path=xl/sharedStrings.xml><?xml version="1.0" encoding="utf-8"?>
<sst xmlns="http://schemas.openxmlformats.org/spreadsheetml/2006/main" count="239" uniqueCount="184">
  <si>
    <t>Description</t>
  </si>
  <si>
    <t>Designator</t>
  </si>
  <si>
    <t>Manufacturer</t>
  </si>
  <si>
    <t>Manufacturer Part Number</t>
  </si>
  <si>
    <t>4.7UF</t>
  </si>
  <si>
    <t>CAP CER 4.7UF 25V X5R 0603</t>
  </si>
  <si>
    <t>C1</t>
  </si>
  <si>
    <t>Cap0603</t>
  </si>
  <si>
    <t>CL10A475KA8NQNC</t>
  </si>
  <si>
    <t>Samsung</t>
  </si>
  <si>
    <t>0.1uF</t>
  </si>
  <si>
    <t>CL10B104KB8NNNC</t>
  </si>
  <si>
    <t>1uF</t>
  </si>
  <si>
    <t>CAP TANT 1UF 20% 25V 0603</t>
  </si>
  <si>
    <t>C12</t>
  </si>
  <si>
    <t>F981E105MMA</t>
  </si>
  <si>
    <t>Kyocera AVX</t>
  </si>
  <si>
    <t>2.2uF</t>
  </si>
  <si>
    <t>C13, C14</t>
  </si>
  <si>
    <t>Cap 0603</t>
  </si>
  <si>
    <t>GRM188R6YA225KA12D</t>
  </si>
  <si>
    <t>Murata</t>
  </si>
  <si>
    <t>10pF</t>
  </si>
  <si>
    <t>CAP CER 10PF 25V C0G 0201</t>
  </si>
  <si>
    <t>C16, C17, C18, C19</t>
  </si>
  <si>
    <t>CAP 0201</t>
  </si>
  <si>
    <t>CGA1A2C0G1E100D030BA</t>
  </si>
  <si>
    <t>TDK</t>
  </si>
  <si>
    <t>CAP CER 10UF 25V X5R 0603</t>
  </si>
  <si>
    <t>C31</t>
  </si>
  <si>
    <t>CL10A106MA8NRNC</t>
  </si>
  <si>
    <t>AZ6225-01F.R7GR</t>
  </si>
  <si>
    <t>Bidirectional 2.5V 3.5V 5V 20A (8/20us) DFN1006P2E TVS RoHS</t>
  </si>
  <si>
    <t>D1, D2</t>
  </si>
  <si>
    <t>AMAZING</t>
  </si>
  <si>
    <t>DFN1006P2E</t>
  </si>
  <si>
    <t>ESD9L5.0ST5G</t>
  </si>
  <si>
    <t>TVS DIODE 5V 9.8V SOD923</t>
  </si>
  <si>
    <t>D12</t>
  </si>
  <si>
    <t>SOD-923</t>
  </si>
  <si>
    <t>ON Semiconductor</t>
  </si>
  <si>
    <t>M55-6012042R</t>
  </si>
  <si>
    <t>CONN RCPT 1.27MM DUAL SMD 20POS</t>
  </si>
  <si>
    <t>J3</t>
  </si>
  <si>
    <t>Harwin</t>
  </si>
  <si>
    <t>FBMH1608HL121-TV</t>
  </si>
  <si>
    <t>L1</t>
  </si>
  <si>
    <t>IND 0603</t>
  </si>
  <si>
    <t>Taiyo Yuden</t>
  </si>
  <si>
    <t>XZVG68W-2</t>
  </si>
  <si>
    <t>LED GREEN CLEAR CHIP SMD</t>
  </si>
  <si>
    <t>LED1</t>
  </si>
  <si>
    <t>LED 0402</t>
  </si>
  <si>
    <t>SunLED</t>
  </si>
  <si>
    <t>SMC-1-05-1-GT</t>
  </si>
  <si>
    <t>MACHINE PIN SOCKET 5P 2.54MM PIT</t>
  </si>
  <si>
    <t>P1</t>
  </si>
  <si>
    <t>Adam Equipment</t>
  </si>
  <si>
    <t>MMBT2222A-7-F</t>
  </si>
  <si>
    <t>TRANS NPN 40V 0.6A SMD SOT23-3</t>
  </si>
  <si>
    <t>Q1, Q2</t>
  </si>
  <si>
    <t>SOT-23</t>
  </si>
  <si>
    <t>Diodes</t>
  </si>
  <si>
    <t>100R</t>
  </si>
  <si>
    <t>RES SMD 100 OHM 1% 1/10W 0603</t>
  </si>
  <si>
    <t>R1</t>
  </si>
  <si>
    <t>Res0603</t>
  </si>
  <si>
    <t>RC0603FR-07100RL</t>
  </si>
  <si>
    <t>Yageo</t>
  </si>
  <si>
    <t>10K</t>
  </si>
  <si>
    <t>RES SMD 10K Ohm 1% 1/10W 0603</t>
  </si>
  <si>
    <t>R2, R27, RF1, RF2, RF3</t>
  </si>
  <si>
    <t>RC0603FR-0710KL</t>
  </si>
  <si>
    <t>806R</t>
  </si>
  <si>
    <t>R3</t>
  </si>
  <si>
    <t>Res-0201</t>
  </si>
  <si>
    <t>RMCF0201FT806R</t>
  </si>
  <si>
    <t>Stackpole Electronics</t>
  </si>
  <si>
    <t>1K</t>
  </si>
  <si>
    <t>R4, R5</t>
  </si>
  <si>
    <t>RC0603JR-071KL</t>
  </si>
  <si>
    <t>470R</t>
  </si>
  <si>
    <t>R6</t>
  </si>
  <si>
    <t>RC0603FR-07470RL</t>
  </si>
  <si>
    <t>R7, R8</t>
  </si>
  <si>
    <t>B3U-1000P</t>
  </si>
  <si>
    <t>SWITCH TACTILE SPST-NO 0.05A 12V</t>
  </si>
  <si>
    <t>SW1</t>
  </si>
  <si>
    <t>Omron</t>
  </si>
  <si>
    <t>STM32F407VGT7TR</t>
  </si>
  <si>
    <t>IC MCU 32BIT 1MB FLASH 100LQFP</t>
  </si>
  <si>
    <t>U1</t>
  </si>
  <si>
    <t>LQFP-100</t>
  </si>
  <si>
    <t>STMicroelectronics</t>
  </si>
  <si>
    <t>SN65HVDA1040BQDRQ1</t>
  </si>
  <si>
    <t>IC TRANSCEIVER 1/1 8SOIC</t>
  </si>
  <si>
    <t>U2</t>
  </si>
  <si>
    <t>SOIC-8</t>
  </si>
  <si>
    <t>Texas Instruments</t>
  </si>
  <si>
    <t>AEAT-8800-Q24</t>
  </si>
  <si>
    <t>ROTARY ENCODER MAGNETIC 4096PPR</t>
  </si>
  <si>
    <t>U3</t>
  </si>
  <si>
    <t>QFN-24</t>
  </si>
  <si>
    <t>Broadcom Avago</t>
  </si>
  <si>
    <t>ICM-20649</t>
  </si>
  <si>
    <t>WIDE-FULL SCALE RANGE 6-AXIS MEM</t>
  </si>
  <si>
    <t>U4</t>
  </si>
  <si>
    <t>24-QFN (3x3)</t>
  </si>
  <si>
    <t>TDK InvenSense</t>
  </si>
  <si>
    <t>SN74LV1T34DBVR</t>
  </si>
  <si>
    <t>IC BUF NON-INVERT 5.5V SOT23-5</t>
  </si>
  <si>
    <t>U5</t>
  </si>
  <si>
    <t>SOT-23-5</t>
  </si>
  <si>
    <t>MCP9805-BE/ST</t>
  </si>
  <si>
    <t>IC SENSOR THERMAL 3.0V 8TSSOP</t>
  </si>
  <si>
    <t>U9</t>
  </si>
  <si>
    <t>8-TSSOP</t>
  </si>
  <si>
    <t>Microchip</t>
  </si>
  <si>
    <t>CAT24C32HU4I-GT3</t>
  </si>
  <si>
    <t>IC EEPROM 32KBIT I2C 1MHZ 8UDFN</t>
  </si>
  <si>
    <t>U10</t>
  </si>
  <si>
    <t>8-UDFN-EP (2x3)</t>
  </si>
  <si>
    <t>20MHz</t>
  </si>
  <si>
    <t>CRYSTAL 20.0000MHZ 18PF SMD</t>
  </si>
  <si>
    <t>X1</t>
  </si>
  <si>
    <t>HCM4920000000ABJT</t>
  </si>
  <si>
    <t>CITIZEN</t>
  </si>
  <si>
    <t>ECS-.327-7-34B-C-TR</t>
  </si>
  <si>
    <t>Crystals 32.768KHz 7pF</t>
  </si>
  <si>
    <t>X2</t>
  </si>
  <si>
    <t>ECS International</t>
  </si>
  <si>
    <t>S. No.</t>
  </si>
  <si>
    <t>Components</t>
  </si>
  <si>
    <t>Footprint (Package)</t>
  </si>
  <si>
    <t>Alternate</t>
  </si>
  <si>
    <t>Value</t>
  </si>
  <si>
    <t>Quantity (Per Board)</t>
  </si>
  <si>
    <t>Quantity 5</t>
  </si>
  <si>
    <t>Unit Cost(1)</t>
  </si>
  <si>
    <t>Total Cost(1)</t>
  </si>
  <si>
    <t>Unit Cost (5 Boards)</t>
  </si>
  <si>
    <t>Total Cost (5)</t>
  </si>
  <si>
    <t>Remarks</t>
  </si>
  <si>
    <t>Bill of Material (BOM) for Cole Benson</t>
  </si>
  <si>
    <t>less stock</t>
  </si>
  <si>
    <t>CL10A475MA8NQNC</t>
  </si>
  <si>
    <t>CC0603ZRY5V9BB104</t>
  </si>
  <si>
    <t>Capacitor</t>
  </si>
  <si>
    <t>Diode</t>
  </si>
  <si>
    <t>Mosfet</t>
  </si>
  <si>
    <t>Resistor</t>
  </si>
  <si>
    <t>Switch</t>
  </si>
  <si>
    <t>Crystal</t>
  </si>
  <si>
    <t>Ics</t>
  </si>
  <si>
    <t>Connectors</t>
  </si>
  <si>
    <t>out of stock everywhere</t>
  </si>
  <si>
    <t>Not anywhere else</t>
  </si>
  <si>
    <t xml:space="preserve">Total Component Cost </t>
  </si>
  <si>
    <t>Single Board Cost</t>
  </si>
  <si>
    <t xml:space="preserve">Custom </t>
  </si>
  <si>
    <t xml:space="preserve">CAP CER 0.1UF 50V X7R 0603
</t>
  </si>
  <si>
    <t>Case M</t>
  </si>
  <si>
    <t>----------</t>
  </si>
  <si>
    <t xml:space="preserve">CAP CER 2.2UF 35V X5R 0603
</t>
  </si>
  <si>
    <t xml:space="preserve">CM105X5R106M25AT
</t>
  </si>
  <si>
    <t>10uF</t>
  </si>
  <si>
    <t>---------</t>
  </si>
  <si>
    <t xml:space="preserve">FERRITE BEAD 120 OHM 0603 1LN
</t>
  </si>
  <si>
    <t>Inductor</t>
  </si>
  <si>
    <t>--------</t>
  </si>
  <si>
    <t xml:space="preserve">RES SMD 1K OHM 5% 1/10W 0603
</t>
  </si>
  <si>
    <t xml:space="preserve">RES SMD 470 OHM 1% 1/10W 0603
</t>
  </si>
  <si>
    <t xml:space="preserve">RES 806 OHM 1% 1/20W 0201
</t>
  </si>
  <si>
    <t>Unit Cost (25 Boards)</t>
  </si>
  <si>
    <t>Total Cost (25)</t>
  </si>
  <si>
    <t>Unit Cost (100 Boards)</t>
  </si>
  <si>
    <t>Total Cost (100)</t>
  </si>
  <si>
    <t>Quantity 25</t>
  </si>
  <si>
    <t>Quantity 100</t>
  </si>
  <si>
    <t>---</t>
  </si>
  <si>
    <t>--</t>
  </si>
  <si>
    <t>C2, C3, C4, C5, C6, C7, C8, C9, C10, C11, C15, C20, C32, C33, C34, C35, C36, C37, C50,CF1</t>
  </si>
  <si>
    <t>RES SMD 57.6 OHM 1% 1/10W 0603</t>
  </si>
  <si>
    <t>RC0603FR-0757R6L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</si>
</sst>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.00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2E3438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0" fontId="1" fillId="2" borderId="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8" xfId="0" quotePrefix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1" xfId="0" quotePrefix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0" fontId="5" fillId="0" borderId="13" xfId="0" quotePrefix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5" fontId="6" fillId="0" borderId="13" xfId="0" applyNumberFormat="1" applyFont="1" applyBorder="1" applyAlignment="1">
      <alignment horizontal="center" vertical="center"/>
    </xf>
    <xf numFmtId="165" fontId="5" fillId="0" borderId="13" xfId="0" applyNumberFormat="1" applyFont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8" fillId="0" borderId="8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1" xfId="0" quotePrefix="1" applyFont="1" applyBorder="1" applyAlignment="1">
      <alignment horizontal="center"/>
    </xf>
    <xf numFmtId="0" fontId="5" fillId="0" borderId="13" xfId="0" quotePrefix="1" applyFont="1" applyBorder="1" applyAlignment="1">
      <alignment horizontal="center"/>
    </xf>
    <xf numFmtId="0" fontId="5" fillId="0" borderId="8" xfId="0" quotePrefix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1" xfId="0" quotePrefix="1" applyFont="1" applyBorder="1" applyAlignment="1">
      <alignment horizontal="center"/>
    </xf>
    <xf numFmtId="0" fontId="5" fillId="3" borderId="1" xfId="0" quotePrefix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1" xfId="0" quotePrefix="1" applyFont="1" applyFill="1" applyBorder="1" applyAlignment="1">
      <alignment horizontal="center"/>
    </xf>
    <xf numFmtId="0" fontId="5" fillId="3" borderId="8" xfId="0" quotePrefix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5" fillId="3" borderId="11" xfId="0" quotePrefix="1" applyFont="1" applyFill="1" applyBorder="1" applyAlignment="1">
      <alignment horizontal="center" vertical="center"/>
    </xf>
    <xf numFmtId="0" fontId="5" fillId="3" borderId="13" xfId="0" quotePrefix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15" xfId="0" quotePrefix="1" applyFont="1" applyBorder="1" applyAlignment="1">
      <alignment vertical="center"/>
    </xf>
    <xf numFmtId="0" fontId="5" fillId="0" borderId="16" xfId="0" quotePrefix="1" applyFont="1" applyBorder="1" applyAlignment="1">
      <alignment vertical="center"/>
    </xf>
    <xf numFmtId="0" fontId="5" fillId="0" borderId="17" xfId="0" quotePrefix="1" applyFont="1" applyBorder="1" applyAlignment="1">
      <alignment vertical="center"/>
    </xf>
    <xf numFmtId="0" fontId="5" fillId="3" borderId="16" xfId="0" quotePrefix="1" applyFont="1" applyFill="1" applyBorder="1" applyAlignment="1">
      <alignment vertical="center"/>
    </xf>
    <xf numFmtId="0" fontId="5" fillId="0" borderId="21" xfId="0" quotePrefix="1" applyFont="1" applyBorder="1" applyAlignment="1">
      <alignment vertical="center"/>
    </xf>
    <xf numFmtId="164" fontId="5" fillId="0" borderId="13" xfId="0" applyNumberFormat="1" applyFont="1" applyBorder="1" applyAlignment="1">
      <alignment horizontal="center" vertical="center"/>
    </xf>
    <xf numFmtId="0" fontId="5" fillId="3" borderId="11" xfId="0" quotePrefix="1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" fillId="2" borderId="22" xfId="0" applyFont="1" applyFill="1" applyBorder="1" applyAlignment="1">
      <alignment horizontal="center" vertical="center"/>
    </xf>
    <xf numFmtId="0" fontId="5" fillId="0" borderId="16" xfId="0" quotePrefix="1" applyFont="1" applyFill="1" applyBorder="1" applyAlignment="1">
      <alignment vertical="center" wrapText="1"/>
    </xf>
    <xf numFmtId="0" fontId="5" fillId="0" borderId="1" xfId="0" quotePrefix="1" applyFont="1" applyBorder="1" applyAlignment="1">
      <alignment vertic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3"/>
  <sheetViews>
    <sheetView tabSelected="1" zoomScaleNormal="100" workbookViewId="0">
      <selection activeCell="E6" sqref="E6"/>
    </sheetView>
  </sheetViews>
  <sheetFormatPr defaultRowHeight="15" x14ac:dyDescent="0.25"/>
  <cols>
    <col min="1" max="1" width="6.140625" bestFit="1" customWidth="1"/>
    <col min="2" max="2" width="16.5703125" customWidth="1"/>
    <col min="3" max="3" width="51.42578125" bestFit="1" customWidth="1"/>
    <col min="4" max="4" width="28.140625" customWidth="1"/>
    <col min="5" max="5" width="18.5703125" bestFit="1" customWidth="1"/>
    <col min="6" max="6" width="25.28515625" bestFit="1" customWidth="1"/>
    <col min="7" max="7" width="19.85546875" bestFit="1" customWidth="1"/>
    <col min="8" max="8" width="20" bestFit="1" customWidth="1"/>
    <col min="9" max="9" width="6.42578125" bestFit="1" customWidth="1"/>
    <col min="10" max="10" width="19.42578125" bestFit="1" customWidth="1"/>
    <col min="11" max="11" width="13.42578125" bestFit="1" customWidth="1"/>
    <col min="12" max="13" width="13.42578125" customWidth="1"/>
    <col min="14" max="14" width="11.5703125" bestFit="1" customWidth="1"/>
    <col min="15" max="15" width="12.140625" bestFit="1" customWidth="1"/>
    <col min="16" max="16" width="18.7109375" bestFit="1" customWidth="1"/>
    <col min="17" max="17" width="12.5703125" bestFit="1" customWidth="1"/>
    <col min="18" max="18" width="19.7109375" bestFit="1" customWidth="1"/>
    <col min="19" max="19" width="13.7109375" bestFit="1" customWidth="1"/>
    <col min="20" max="20" width="20.7109375" bestFit="1" customWidth="1"/>
    <col min="21" max="21" width="14.7109375" bestFit="1" customWidth="1"/>
    <col min="22" max="22" width="20.42578125" style="7" bestFit="1" customWidth="1"/>
  </cols>
  <sheetData>
    <row r="1" spans="1:22" ht="16.5" thickBot="1" x14ac:dyDescent="0.3">
      <c r="A1" s="67" t="s">
        <v>143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9"/>
    </row>
    <row r="2" spans="1:22" ht="15.75" thickBot="1" x14ac:dyDescent="0.3">
      <c r="A2" s="1" t="s">
        <v>131</v>
      </c>
      <c r="B2" s="5" t="s">
        <v>132</v>
      </c>
      <c r="C2" s="5" t="s">
        <v>0</v>
      </c>
      <c r="D2" s="5" t="s">
        <v>1</v>
      </c>
      <c r="E2" s="5" t="s">
        <v>133</v>
      </c>
      <c r="F2" s="5" t="s">
        <v>3</v>
      </c>
      <c r="G2" s="5" t="s">
        <v>2</v>
      </c>
      <c r="H2" s="5" t="s">
        <v>134</v>
      </c>
      <c r="I2" s="5" t="s">
        <v>135</v>
      </c>
      <c r="J2" s="5" t="s">
        <v>136</v>
      </c>
      <c r="K2" s="5" t="s">
        <v>137</v>
      </c>
      <c r="L2" s="5" t="s">
        <v>177</v>
      </c>
      <c r="M2" s="5" t="s">
        <v>178</v>
      </c>
      <c r="N2" s="5" t="s">
        <v>138</v>
      </c>
      <c r="O2" s="5" t="s">
        <v>139</v>
      </c>
      <c r="P2" s="5" t="s">
        <v>140</v>
      </c>
      <c r="Q2" s="5" t="s">
        <v>141</v>
      </c>
      <c r="R2" s="5" t="s">
        <v>173</v>
      </c>
      <c r="S2" s="5" t="s">
        <v>174</v>
      </c>
      <c r="T2" s="5" t="s">
        <v>175</v>
      </c>
      <c r="U2" s="5" t="s">
        <v>176</v>
      </c>
      <c r="V2" s="5" t="s">
        <v>142</v>
      </c>
    </row>
    <row r="3" spans="1:22" ht="15.75" thickBot="1" x14ac:dyDescent="0.3">
      <c r="A3" s="1">
        <v>1</v>
      </c>
      <c r="B3" s="65" t="s">
        <v>147</v>
      </c>
      <c r="C3" s="51" t="s">
        <v>5</v>
      </c>
      <c r="D3" s="44" t="s">
        <v>6</v>
      </c>
      <c r="E3" s="8" t="s">
        <v>7</v>
      </c>
      <c r="F3" s="8" t="s">
        <v>8</v>
      </c>
      <c r="G3" s="8" t="s">
        <v>9</v>
      </c>
      <c r="H3" s="8" t="s">
        <v>145</v>
      </c>
      <c r="I3" s="8" t="s">
        <v>4</v>
      </c>
      <c r="J3" s="9">
        <v>1</v>
      </c>
      <c r="K3" s="9">
        <f t="shared" ref="K3:K31" si="0">J3*5</f>
        <v>5</v>
      </c>
      <c r="L3" s="9">
        <f>J3*25</f>
        <v>25</v>
      </c>
      <c r="M3" s="9">
        <f>J3*100</f>
        <v>100</v>
      </c>
      <c r="N3" s="10">
        <v>0.31</v>
      </c>
      <c r="O3" s="10">
        <f t="shared" ref="O3:O31" si="1">N3*J3</f>
        <v>0.31</v>
      </c>
      <c r="P3" s="10">
        <v>0.31</v>
      </c>
      <c r="Q3" s="10">
        <f t="shared" ref="Q3:Q31" si="2">P3*K3</f>
        <v>1.55</v>
      </c>
      <c r="R3" s="10">
        <v>0.21299999999999999</v>
      </c>
      <c r="S3" s="49">
        <f t="shared" ref="S3:S31" si="3">R3*L3</f>
        <v>5.3250000000000002</v>
      </c>
      <c r="T3" s="10">
        <v>0.12039999999999999</v>
      </c>
      <c r="U3" s="49">
        <f t="shared" ref="U3:U31" si="4">T3*M3</f>
        <v>12.04</v>
      </c>
      <c r="V3" s="32"/>
    </row>
    <row r="4" spans="1:22" s="28" customFormat="1" ht="60.75" customHeight="1" thickBot="1" x14ac:dyDescent="0.3">
      <c r="A4" s="1">
        <v>2</v>
      </c>
      <c r="B4" s="70"/>
      <c r="C4" s="61" t="s">
        <v>160</v>
      </c>
      <c r="D4" s="45" t="s">
        <v>181</v>
      </c>
      <c r="E4" s="11" t="s">
        <v>7</v>
      </c>
      <c r="F4" s="11" t="s">
        <v>11</v>
      </c>
      <c r="G4" s="11" t="s">
        <v>9</v>
      </c>
      <c r="H4" s="11" t="s">
        <v>146</v>
      </c>
      <c r="I4" s="11" t="s">
        <v>10</v>
      </c>
      <c r="J4" s="26">
        <v>20</v>
      </c>
      <c r="K4" s="26">
        <f t="shared" si="0"/>
        <v>100</v>
      </c>
      <c r="L4" s="13">
        <f t="shared" ref="L4:L31" si="5">J4*25</f>
        <v>500</v>
      </c>
      <c r="M4" s="13">
        <f t="shared" ref="M4:M31" si="6">J4*100</f>
        <v>2000</v>
      </c>
      <c r="N4" s="27">
        <v>4.8000000000000001E-2</v>
      </c>
      <c r="O4" s="27">
        <f t="shared" si="1"/>
        <v>0.96</v>
      </c>
      <c r="P4" s="27">
        <v>2.1399999999999999E-2</v>
      </c>
      <c r="Q4" s="27">
        <f t="shared" si="2"/>
        <v>2.1399999999999997</v>
      </c>
      <c r="R4" s="27">
        <v>1.5259999999999999E-2</v>
      </c>
      <c r="S4" s="37">
        <f t="shared" si="3"/>
        <v>7.63</v>
      </c>
      <c r="T4" s="27">
        <v>1.1990000000000001E-2</v>
      </c>
      <c r="U4" s="37">
        <f t="shared" si="4"/>
        <v>23.98</v>
      </c>
      <c r="V4" s="33"/>
    </row>
    <row r="5" spans="1:22" ht="15.75" thickBot="1" x14ac:dyDescent="0.3">
      <c r="A5" s="1">
        <v>3</v>
      </c>
      <c r="B5" s="70"/>
      <c r="C5" s="52" t="s">
        <v>13</v>
      </c>
      <c r="D5" s="39" t="s">
        <v>14</v>
      </c>
      <c r="E5" s="12" t="s">
        <v>161</v>
      </c>
      <c r="F5" s="12" t="s">
        <v>15</v>
      </c>
      <c r="G5" s="12" t="s">
        <v>16</v>
      </c>
      <c r="H5" s="29" t="s">
        <v>162</v>
      </c>
      <c r="I5" s="12" t="s">
        <v>12</v>
      </c>
      <c r="J5" s="13">
        <v>1</v>
      </c>
      <c r="K5" s="13">
        <f t="shared" si="0"/>
        <v>5</v>
      </c>
      <c r="L5" s="13">
        <f t="shared" si="5"/>
        <v>25</v>
      </c>
      <c r="M5" s="13">
        <f t="shared" si="6"/>
        <v>100</v>
      </c>
      <c r="N5" s="14">
        <v>0.79</v>
      </c>
      <c r="O5" s="14">
        <f t="shared" si="1"/>
        <v>0.79</v>
      </c>
      <c r="P5" s="14">
        <v>0.79</v>
      </c>
      <c r="Q5" s="14">
        <f t="shared" si="2"/>
        <v>3.95</v>
      </c>
      <c r="R5" s="14">
        <v>0.55800000000000005</v>
      </c>
      <c r="S5" s="37">
        <f t="shared" si="3"/>
        <v>13.950000000000001</v>
      </c>
      <c r="T5" s="14">
        <v>0.36770000000000003</v>
      </c>
      <c r="U5" s="37">
        <f t="shared" si="4"/>
        <v>36.770000000000003</v>
      </c>
      <c r="V5" s="34"/>
    </row>
    <row r="6" spans="1:22" ht="15.75" thickBot="1" x14ac:dyDescent="0.3">
      <c r="A6" s="1">
        <v>4</v>
      </c>
      <c r="B6" s="70"/>
      <c r="C6" s="52" t="s">
        <v>163</v>
      </c>
      <c r="D6" s="39" t="s">
        <v>18</v>
      </c>
      <c r="E6" s="12" t="s">
        <v>19</v>
      </c>
      <c r="F6" s="12" t="s">
        <v>20</v>
      </c>
      <c r="G6" s="12" t="s">
        <v>21</v>
      </c>
      <c r="H6" s="29" t="s">
        <v>162</v>
      </c>
      <c r="I6" s="12" t="s">
        <v>17</v>
      </c>
      <c r="J6" s="13">
        <v>2</v>
      </c>
      <c r="K6" s="13">
        <f t="shared" si="0"/>
        <v>10</v>
      </c>
      <c r="L6" s="13">
        <f t="shared" si="5"/>
        <v>50</v>
      </c>
      <c r="M6" s="13">
        <f t="shared" si="6"/>
        <v>200</v>
      </c>
      <c r="N6" s="14">
        <v>0.21</v>
      </c>
      <c r="O6" s="14">
        <f t="shared" si="1"/>
        <v>0.42</v>
      </c>
      <c r="P6" s="14">
        <v>0.14299999999999999</v>
      </c>
      <c r="Q6" s="14">
        <f t="shared" si="2"/>
        <v>1.43</v>
      </c>
      <c r="R6" s="14">
        <v>8.5599999999999996E-2</v>
      </c>
      <c r="S6" s="37">
        <f t="shared" si="3"/>
        <v>4.2799999999999994</v>
      </c>
      <c r="T6" s="14">
        <v>7.2400000000000006E-2</v>
      </c>
      <c r="U6" s="37">
        <f t="shared" si="4"/>
        <v>14.48</v>
      </c>
      <c r="V6" s="34"/>
    </row>
    <row r="7" spans="1:22" ht="15.75" thickBot="1" x14ac:dyDescent="0.3">
      <c r="A7" s="1">
        <v>5</v>
      </c>
      <c r="B7" s="70"/>
      <c r="C7" s="52" t="s">
        <v>23</v>
      </c>
      <c r="D7" s="39" t="s">
        <v>24</v>
      </c>
      <c r="E7" s="12" t="s">
        <v>25</v>
      </c>
      <c r="F7" s="12" t="s">
        <v>26</v>
      </c>
      <c r="G7" s="12" t="s">
        <v>27</v>
      </c>
      <c r="H7" s="29" t="s">
        <v>162</v>
      </c>
      <c r="I7" s="12" t="s">
        <v>22</v>
      </c>
      <c r="J7" s="13">
        <v>4</v>
      </c>
      <c r="K7" s="13">
        <f t="shared" si="0"/>
        <v>20</v>
      </c>
      <c r="L7" s="13">
        <f t="shared" si="5"/>
        <v>100</v>
      </c>
      <c r="M7" s="13">
        <f t="shared" si="6"/>
        <v>400</v>
      </c>
      <c r="N7" s="14">
        <v>0.11</v>
      </c>
      <c r="O7" s="14">
        <f t="shared" si="1"/>
        <v>0.44</v>
      </c>
      <c r="P7" s="14">
        <v>7.9000000000000001E-2</v>
      </c>
      <c r="Q7" s="14">
        <f t="shared" si="2"/>
        <v>1.58</v>
      </c>
      <c r="R7" s="14">
        <v>3.5400000000000001E-2</v>
      </c>
      <c r="S7" s="37">
        <f t="shared" si="3"/>
        <v>3.54</v>
      </c>
      <c r="T7" s="14">
        <v>3.5400000000000001E-2</v>
      </c>
      <c r="U7" s="37">
        <f t="shared" si="4"/>
        <v>14.16</v>
      </c>
      <c r="V7" s="34"/>
    </row>
    <row r="8" spans="1:22" ht="15.75" thickBot="1" x14ac:dyDescent="0.3">
      <c r="A8" s="1">
        <v>6</v>
      </c>
      <c r="B8" s="66"/>
      <c r="C8" s="53" t="s">
        <v>28</v>
      </c>
      <c r="D8" s="46" t="s">
        <v>29</v>
      </c>
      <c r="E8" s="15" t="s">
        <v>7</v>
      </c>
      <c r="F8" s="15" t="s">
        <v>30</v>
      </c>
      <c r="G8" s="15" t="s">
        <v>9</v>
      </c>
      <c r="H8" s="16" t="s">
        <v>164</v>
      </c>
      <c r="I8" s="15" t="s">
        <v>165</v>
      </c>
      <c r="J8" s="16">
        <v>1</v>
      </c>
      <c r="K8" s="16">
        <f t="shared" si="0"/>
        <v>5</v>
      </c>
      <c r="L8" s="16">
        <f t="shared" si="5"/>
        <v>25</v>
      </c>
      <c r="M8" s="16">
        <f t="shared" si="6"/>
        <v>100</v>
      </c>
      <c r="N8" s="17">
        <v>0.35</v>
      </c>
      <c r="O8" s="17">
        <f t="shared" si="1"/>
        <v>0.35</v>
      </c>
      <c r="P8" s="17">
        <v>0.35</v>
      </c>
      <c r="Q8" s="17">
        <f t="shared" si="2"/>
        <v>1.75</v>
      </c>
      <c r="R8" s="17">
        <v>0.24199999999999999</v>
      </c>
      <c r="S8" s="50">
        <f t="shared" si="3"/>
        <v>6.05</v>
      </c>
      <c r="T8" s="17">
        <v>0.1368</v>
      </c>
      <c r="U8" s="50">
        <f t="shared" si="4"/>
        <v>13.68</v>
      </c>
      <c r="V8" s="35"/>
    </row>
    <row r="9" spans="1:22" ht="15.75" thickBot="1" x14ac:dyDescent="0.3">
      <c r="A9" s="1">
        <v>7</v>
      </c>
      <c r="B9" s="65" t="s">
        <v>148</v>
      </c>
      <c r="C9" s="51" t="s">
        <v>32</v>
      </c>
      <c r="D9" s="44" t="s">
        <v>33</v>
      </c>
      <c r="E9" s="8" t="s">
        <v>35</v>
      </c>
      <c r="F9" s="8" t="s">
        <v>31</v>
      </c>
      <c r="G9" s="8" t="s">
        <v>34</v>
      </c>
      <c r="H9" s="31" t="s">
        <v>169</v>
      </c>
      <c r="I9" s="8" t="s">
        <v>179</v>
      </c>
      <c r="J9" s="9">
        <v>2</v>
      </c>
      <c r="K9" s="9">
        <f t="shared" si="0"/>
        <v>10</v>
      </c>
      <c r="L9" s="9">
        <f t="shared" si="5"/>
        <v>50</v>
      </c>
      <c r="M9" s="9">
        <f t="shared" si="6"/>
        <v>200</v>
      </c>
      <c r="N9" s="18">
        <v>0.13100000000000001</v>
      </c>
      <c r="O9" s="10">
        <f t="shared" si="1"/>
        <v>0.26200000000000001</v>
      </c>
      <c r="P9" s="18">
        <v>0.13100000000000001</v>
      </c>
      <c r="Q9" s="10">
        <f t="shared" si="2"/>
        <v>1.31</v>
      </c>
      <c r="R9" s="10">
        <v>0.1048</v>
      </c>
      <c r="S9" s="49">
        <f t="shared" si="3"/>
        <v>5.24</v>
      </c>
      <c r="T9" s="10">
        <v>0.1</v>
      </c>
      <c r="U9" s="49">
        <f t="shared" si="4"/>
        <v>20</v>
      </c>
      <c r="V9" s="59" t="s">
        <v>155</v>
      </c>
    </row>
    <row r="10" spans="1:22" ht="15.75" thickBot="1" x14ac:dyDescent="0.3">
      <c r="A10" s="1">
        <v>8</v>
      </c>
      <c r="B10" s="70"/>
      <c r="C10" s="52" t="s">
        <v>37</v>
      </c>
      <c r="D10" s="39" t="s">
        <v>38</v>
      </c>
      <c r="E10" s="12" t="s">
        <v>39</v>
      </c>
      <c r="F10" s="12" t="s">
        <v>36</v>
      </c>
      <c r="G10" s="12" t="s">
        <v>40</v>
      </c>
      <c r="H10" s="29" t="s">
        <v>166</v>
      </c>
      <c r="I10" s="12" t="s">
        <v>179</v>
      </c>
      <c r="J10" s="13">
        <v>1</v>
      </c>
      <c r="K10" s="13">
        <f t="shared" si="0"/>
        <v>5</v>
      </c>
      <c r="L10" s="13">
        <f t="shared" si="5"/>
        <v>25</v>
      </c>
      <c r="M10" s="13">
        <f t="shared" si="6"/>
        <v>100</v>
      </c>
      <c r="N10" s="14">
        <v>0.38</v>
      </c>
      <c r="O10" s="14">
        <f t="shared" si="1"/>
        <v>0.38</v>
      </c>
      <c r="P10" s="14">
        <v>0.38</v>
      </c>
      <c r="Q10" s="14">
        <f t="shared" si="2"/>
        <v>1.9</v>
      </c>
      <c r="R10" s="14">
        <v>0.28499999999999998</v>
      </c>
      <c r="S10" s="37">
        <f t="shared" si="3"/>
        <v>7.1249999999999991</v>
      </c>
      <c r="T10" s="14">
        <v>0.1613</v>
      </c>
      <c r="U10" s="37">
        <f t="shared" si="4"/>
        <v>16.13</v>
      </c>
      <c r="V10" s="34"/>
    </row>
    <row r="11" spans="1:22" ht="15.75" thickBot="1" x14ac:dyDescent="0.3">
      <c r="A11" s="1">
        <v>9</v>
      </c>
      <c r="B11" s="66"/>
      <c r="C11" s="53" t="s">
        <v>50</v>
      </c>
      <c r="D11" s="46" t="s">
        <v>51</v>
      </c>
      <c r="E11" s="15" t="s">
        <v>52</v>
      </c>
      <c r="F11" s="15" t="s">
        <v>49</v>
      </c>
      <c r="G11" s="15" t="s">
        <v>53</v>
      </c>
      <c r="H11" s="38" t="s">
        <v>166</v>
      </c>
      <c r="I11" s="15" t="s">
        <v>179</v>
      </c>
      <c r="J11" s="16">
        <v>1</v>
      </c>
      <c r="K11" s="16">
        <f t="shared" si="0"/>
        <v>5</v>
      </c>
      <c r="L11" s="16">
        <f t="shared" si="5"/>
        <v>25</v>
      </c>
      <c r="M11" s="16">
        <f t="shared" si="6"/>
        <v>100</v>
      </c>
      <c r="N11" s="17">
        <v>0.37</v>
      </c>
      <c r="O11" s="17">
        <f t="shared" si="1"/>
        <v>0.37</v>
      </c>
      <c r="P11" s="17">
        <v>0.37</v>
      </c>
      <c r="Q11" s="17">
        <f t="shared" si="2"/>
        <v>1.85</v>
      </c>
      <c r="R11" s="17">
        <v>0.29299999999999998</v>
      </c>
      <c r="S11" s="50">
        <f t="shared" si="3"/>
        <v>7.3249999999999993</v>
      </c>
      <c r="T11" s="17">
        <v>0.13139999999999999</v>
      </c>
      <c r="U11" s="50">
        <f t="shared" si="4"/>
        <v>13.139999999999999</v>
      </c>
      <c r="V11" s="35"/>
    </row>
    <row r="12" spans="1:22" ht="15.75" thickBot="1" x14ac:dyDescent="0.3">
      <c r="A12" s="1">
        <v>10</v>
      </c>
      <c r="B12" s="6" t="s">
        <v>168</v>
      </c>
      <c r="C12" s="55" t="s">
        <v>167</v>
      </c>
      <c r="D12" s="47" t="s">
        <v>46</v>
      </c>
      <c r="E12" s="19" t="s">
        <v>47</v>
      </c>
      <c r="F12" s="19" t="s">
        <v>45</v>
      </c>
      <c r="G12" s="19" t="s">
        <v>48</v>
      </c>
      <c r="H12" s="30" t="s">
        <v>166</v>
      </c>
      <c r="I12" s="19"/>
      <c r="J12" s="20">
        <v>1</v>
      </c>
      <c r="K12" s="20">
        <f t="shared" si="0"/>
        <v>5</v>
      </c>
      <c r="L12" s="20">
        <f t="shared" si="5"/>
        <v>25</v>
      </c>
      <c r="M12" s="20">
        <f t="shared" si="6"/>
        <v>100</v>
      </c>
      <c r="N12" s="21">
        <v>0.192</v>
      </c>
      <c r="O12" s="22">
        <f t="shared" si="1"/>
        <v>0.192</v>
      </c>
      <c r="P12" s="21">
        <v>0.192</v>
      </c>
      <c r="Q12" s="22">
        <f t="shared" si="2"/>
        <v>0.96</v>
      </c>
      <c r="R12" s="22">
        <v>9.1999999999999998E-2</v>
      </c>
      <c r="S12" s="56">
        <f t="shared" si="3"/>
        <v>2.2999999999999998</v>
      </c>
      <c r="T12" s="22">
        <v>7.0000000000000007E-2</v>
      </c>
      <c r="U12" s="56">
        <f t="shared" si="4"/>
        <v>7.0000000000000009</v>
      </c>
      <c r="V12" s="36"/>
    </row>
    <row r="13" spans="1:22" ht="15.75" thickBot="1" x14ac:dyDescent="0.3">
      <c r="A13" s="1">
        <v>11</v>
      </c>
      <c r="B13" s="6" t="s">
        <v>149</v>
      </c>
      <c r="C13" s="55" t="s">
        <v>59</v>
      </c>
      <c r="D13" s="47" t="s">
        <v>60</v>
      </c>
      <c r="E13" s="19" t="s">
        <v>61</v>
      </c>
      <c r="F13" s="19" t="s">
        <v>58</v>
      </c>
      <c r="G13" s="19" t="s">
        <v>62</v>
      </c>
      <c r="H13" s="30" t="s">
        <v>166</v>
      </c>
      <c r="I13" s="19"/>
      <c r="J13" s="20">
        <v>2</v>
      </c>
      <c r="K13" s="20">
        <f t="shared" si="0"/>
        <v>10</v>
      </c>
      <c r="L13" s="20">
        <f t="shared" si="5"/>
        <v>50</v>
      </c>
      <c r="M13" s="20">
        <f t="shared" si="6"/>
        <v>200</v>
      </c>
      <c r="N13" s="22">
        <v>0.14000000000000001</v>
      </c>
      <c r="O13" s="22">
        <f t="shared" si="1"/>
        <v>0.28000000000000003</v>
      </c>
      <c r="P13" s="22">
        <v>0.125</v>
      </c>
      <c r="Q13" s="22">
        <f t="shared" si="2"/>
        <v>1.25</v>
      </c>
      <c r="R13" s="22">
        <v>0.1192</v>
      </c>
      <c r="S13" s="56">
        <f t="shared" si="3"/>
        <v>5.96</v>
      </c>
      <c r="T13" s="22">
        <v>6.8199999999999997E-2</v>
      </c>
      <c r="U13" s="56">
        <f t="shared" si="4"/>
        <v>13.639999999999999</v>
      </c>
      <c r="V13" s="36"/>
    </row>
    <row r="14" spans="1:22" ht="15.75" thickBot="1" x14ac:dyDescent="0.3">
      <c r="A14" s="1">
        <v>12</v>
      </c>
      <c r="B14" s="65" t="s">
        <v>150</v>
      </c>
      <c r="C14" s="51" t="s">
        <v>64</v>
      </c>
      <c r="D14" s="44" t="s">
        <v>65</v>
      </c>
      <c r="E14" s="8" t="s">
        <v>66</v>
      </c>
      <c r="F14" s="8" t="s">
        <v>67</v>
      </c>
      <c r="G14" s="8" t="s">
        <v>68</v>
      </c>
      <c r="H14" s="31" t="s">
        <v>169</v>
      </c>
      <c r="I14" s="8" t="s">
        <v>63</v>
      </c>
      <c r="J14" s="9">
        <v>1</v>
      </c>
      <c r="K14" s="9">
        <f t="shared" si="0"/>
        <v>5</v>
      </c>
      <c r="L14" s="9">
        <f t="shared" si="5"/>
        <v>25</v>
      </c>
      <c r="M14" s="9">
        <f t="shared" si="6"/>
        <v>100</v>
      </c>
      <c r="N14" s="10">
        <v>0.1</v>
      </c>
      <c r="O14" s="10">
        <f t="shared" si="1"/>
        <v>0.1</v>
      </c>
      <c r="P14" s="10">
        <v>0.1</v>
      </c>
      <c r="Q14" s="10">
        <f t="shared" si="2"/>
        <v>0.5</v>
      </c>
      <c r="R14" s="10">
        <v>2.4E-2</v>
      </c>
      <c r="S14" s="49">
        <f t="shared" si="3"/>
        <v>0.6</v>
      </c>
      <c r="T14" s="10">
        <v>9.7000000000000003E-3</v>
      </c>
      <c r="U14" s="49">
        <f t="shared" si="4"/>
        <v>0.97</v>
      </c>
      <c r="V14" s="32"/>
    </row>
    <row r="15" spans="1:22" ht="15.75" thickBot="1" x14ac:dyDescent="0.3">
      <c r="A15" s="1">
        <v>13</v>
      </c>
      <c r="B15" s="70"/>
      <c r="C15" s="52" t="s">
        <v>70</v>
      </c>
      <c r="D15" s="39" t="s">
        <v>71</v>
      </c>
      <c r="E15" s="12" t="s">
        <v>66</v>
      </c>
      <c r="F15" s="12" t="s">
        <v>72</v>
      </c>
      <c r="G15" s="12" t="s">
        <v>68</v>
      </c>
      <c r="H15" s="29" t="s">
        <v>169</v>
      </c>
      <c r="I15" s="12" t="s">
        <v>69</v>
      </c>
      <c r="J15" s="13">
        <v>5</v>
      </c>
      <c r="K15" s="13">
        <f t="shared" si="0"/>
        <v>25</v>
      </c>
      <c r="L15" s="13">
        <f t="shared" si="5"/>
        <v>125</v>
      </c>
      <c r="M15" s="13">
        <f t="shared" si="6"/>
        <v>500</v>
      </c>
      <c r="N15" s="14">
        <v>0.1</v>
      </c>
      <c r="O15" s="14">
        <f t="shared" si="1"/>
        <v>0.5</v>
      </c>
      <c r="P15" s="14">
        <v>2.4E-2</v>
      </c>
      <c r="Q15" s="14">
        <f t="shared" si="2"/>
        <v>0.6</v>
      </c>
      <c r="R15" s="14">
        <v>9.7000000000000003E-3</v>
      </c>
      <c r="S15" s="37">
        <f t="shared" si="3"/>
        <v>1.2125000000000001</v>
      </c>
      <c r="T15" s="14">
        <v>9.7000000000000003E-3</v>
      </c>
      <c r="U15" s="37">
        <f t="shared" si="4"/>
        <v>4.8500000000000005</v>
      </c>
      <c r="V15" s="34"/>
    </row>
    <row r="16" spans="1:22" ht="15.75" thickBot="1" x14ac:dyDescent="0.3">
      <c r="A16" s="1">
        <v>14</v>
      </c>
      <c r="B16" s="70"/>
      <c r="C16" s="52" t="s">
        <v>172</v>
      </c>
      <c r="D16" s="39" t="s">
        <v>74</v>
      </c>
      <c r="E16" s="12" t="s">
        <v>75</v>
      </c>
      <c r="F16" s="12" t="s">
        <v>76</v>
      </c>
      <c r="G16" s="12" t="s">
        <v>77</v>
      </c>
      <c r="H16" s="29" t="s">
        <v>169</v>
      </c>
      <c r="I16" s="12" t="s">
        <v>73</v>
      </c>
      <c r="J16" s="13">
        <v>1</v>
      </c>
      <c r="K16" s="13">
        <f t="shared" si="0"/>
        <v>5</v>
      </c>
      <c r="L16" s="13">
        <f t="shared" si="5"/>
        <v>25</v>
      </c>
      <c r="M16" s="13">
        <f t="shared" si="6"/>
        <v>100</v>
      </c>
      <c r="N16" s="14">
        <v>0.1</v>
      </c>
      <c r="O16" s="14">
        <f t="shared" si="1"/>
        <v>0.1</v>
      </c>
      <c r="P16" s="14">
        <v>0.1</v>
      </c>
      <c r="Q16" s="14">
        <f t="shared" si="2"/>
        <v>0.5</v>
      </c>
      <c r="R16" s="14">
        <v>2.7E-2</v>
      </c>
      <c r="S16" s="37">
        <f t="shared" si="3"/>
        <v>0.67500000000000004</v>
      </c>
      <c r="T16" s="14">
        <v>1.09E-2</v>
      </c>
      <c r="U16" s="37">
        <f t="shared" si="4"/>
        <v>1.0900000000000001</v>
      </c>
      <c r="V16" s="34"/>
    </row>
    <row r="17" spans="1:22" ht="15.75" thickBot="1" x14ac:dyDescent="0.3">
      <c r="A17" s="1">
        <v>15</v>
      </c>
      <c r="B17" s="70"/>
      <c r="C17" s="52" t="s">
        <v>170</v>
      </c>
      <c r="D17" s="39" t="s">
        <v>79</v>
      </c>
      <c r="E17" s="12" t="s">
        <v>66</v>
      </c>
      <c r="F17" s="12" t="s">
        <v>80</v>
      </c>
      <c r="G17" s="12" t="s">
        <v>68</v>
      </c>
      <c r="H17" s="29" t="s">
        <v>169</v>
      </c>
      <c r="I17" s="12" t="s">
        <v>78</v>
      </c>
      <c r="J17" s="13">
        <v>2</v>
      </c>
      <c r="K17" s="13">
        <f t="shared" si="0"/>
        <v>10</v>
      </c>
      <c r="L17" s="13">
        <f t="shared" si="5"/>
        <v>50</v>
      </c>
      <c r="M17" s="13">
        <f t="shared" si="6"/>
        <v>200</v>
      </c>
      <c r="N17" s="14">
        <v>0.1</v>
      </c>
      <c r="O17" s="14">
        <f t="shared" si="1"/>
        <v>0.2</v>
      </c>
      <c r="P17" s="14">
        <v>0.02</v>
      </c>
      <c r="Q17" s="14">
        <f t="shared" si="2"/>
        <v>0.2</v>
      </c>
      <c r="R17" s="14">
        <v>0.02</v>
      </c>
      <c r="S17" s="37">
        <f t="shared" si="3"/>
        <v>1</v>
      </c>
      <c r="T17" s="14">
        <v>8.0000000000000002E-3</v>
      </c>
      <c r="U17" s="37">
        <f t="shared" si="4"/>
        <v>1.6</v>
      </c>
      <c r="V17" s="34"/>
    </row>
    <row r="18" spans="1:22" ht="15.75" thickBot="1" x14ac:dyDescent="0.3">
      <c r="A18" s="1">
        <v>16</v>
      </c>
      <c r="B18" s="70"/>
      <c r="C18" s="52" t="s">
        <v>171</v>
      </c>
      <c r="D18" s="39" t="s">
        <v>82</v>
      </c>
      <c r="E18" s="12" t="s">
        <v>66</v>
      </c>
      <c r="F18" s="12" t="s">
        <v>83</v>
      </c>
      <c r="G18" s="12" t="s">
        <v>68</v>
      </c>
      <c r="H18" s="29" t="s">
        <v>169</v>
      </c>
      <c r="I18" s="12" t="s">
        <v>81</v>
      </c>
      <c r="J18" s="13">
        <v>1</v>
      </c>
      <c r="K18" s="13">
        <f t="shared" si="0"/>
        <v>5</v>
      </c>
      <c r="L18" s="13">
        <f t="shared" si="5"/>
        <v>25</v>
      </c>
      <c r="M18" s="13">
        <f t="shared" si="6"/>
        <v>100</v>
      </c>
      <c r="N18" s="14">
        <v>0.1</v>
      </c>
      <c r="O18" s="14">
        <f t="shared" si="1"/>
        <v>0.1</v>
      </c>
      <c r="P18" s="14">
        <v>0.1</v>
      </c>
      <c r="Q18" s="14">
        <f t="shared" si="2"/>
        <v>0.5</v>
      </c>
      <c r="R18" s="14">
        <v>2.4E-2</v>
      </c>
      <c r="S18" s="37">
        <f t="shared" si="3"/>
        <v>0.6</v>
      </c>
      <c r="T18" s="14">
        <v>9.7000000000000003E-3</v>
      </c>
      <c r="U18" s="37">
        <f t="shared" si="4"/>
        <v>0.97</v>
      </c>
      <c r="V18" s="34"/>
    </row>
    <row r="19" spans="1:22" ht="15.75" thickBot="1" x14ac:dyDescent="0.3">
      <c r="A19" s="1">
        <v>17</v>
      </c>
      <c r="B19" s="70"/>
      <c r="C19" s="62" t="s">
        <v>182</v>
      </c>
      <c r="D19" s="39" t="s">
        <v>84</v>
      </c>
      <c r="E19" s="12" t="s">
        <v>66</v>
      </c>
      <c r="F19" s="11" t="s">
        <v>183</v>
      </c>
      <c r="G19" s="12" t="s">
        <v>68</v>
      </c>
      <c r="H19" s="29" t="s">
        <v>169</v>
      </c>
      <c r="I19" s="12">
        <v>57.6</v>
      </c>
      <c r="J19" s="13">
        <v>2</v>
      </c>
      <c r="K19" s="13">
        <f t="shared" si="0"/>
        <v>10</v>
      </c>
      <c r="L19" s="13">
        <f t="shared" si="5"/>
        <v>50</v>
      </c>
      <c r="M19" s="13">
        <f t="shared" si="6"/>
        <v>200</v>
      </c>
      <c r="N19" s="14">
        <v>0.1</v>
      </c>
      <c r="O19" s="14">
        <f t="shared" si="1"/>
        <v>0.2</v>
      </c>
      <c r="P19" s="14">
        <v>0.02</v>
      </c>
      <c r="Q19" s="14">
        <f t="shared" si="2"/>
        <v>0.2</v>
      </c>
      <c r="R19" s="14">
        <v>0.02</v>
      </c>
      <c r="S19" s="37">
        <f t="shared" si="3"/>
        <v>1</v>
      </c>
      <c r="T19" s="14">
        <v>8.0999999999999996E-3</v>
      </c>
      <c r="U19" s="37">
        <f t="shared" si="4"/>
        <v>1.6199999999999999</v>
      </c>
      <c r="V19" s="34"/>
    </row>
    <row r="20" spans="1:22" ht="15.75" thickBot="1" x14ac:dyDescent="0.3">
      <c r="A20" s="1">
        <v>19</v>
      </c>
      <c r="B20" s="6" t="s">
        <v>151</v>
      </c>
      <c r="C20" s="55" t="s">
        <v>86</v>
      </c>
      <c r="D20" s="47" t="s">
        <v>87</v>
      </c>
      <c r="E20" s="19" t="s">
        <v>159</v>
      </c>
      <c r="F20" s="19" t="s">
        <v>85</v>
      </c>
      <c r="G20" s="19" t="s">
        <v>88</v>
      </c>
      <c r="H20" s="30" t="s">
        <v>169</v>
      </c>
      <c r="I20" s="19" t="s">
        <v>179</v>
      </c>
      <c r="J20" s="20">
        <v>1</v>
      </c>
      <c r="K20" s="20">
        <f t="shared" si="0"/>
        <v>5</v>
      </c>
      <c r="L20" s="20">
        <f t="shared" si="5"/>
        <v>25</v>
      </c>
      <c r="M20" s="20">
        <f t="shared" si="6"/>
        <v>100</v>
      </c>
      <c r="N20" s="22">
        <v>0.96</v>
      </c>
      <c r="O20" s="22">
        <f t="shared" si="1"/>
        <v>0.96</v>
      </c>
      <c r="P20" s="22">
        <v>0.96</v>
      </c>
      <c r="Q20" s="22">
        <f t="shared" si="2"/>
        <v>4.8</v>
      </c>
      <c r="R20" s="22">
        <v>0.86639999999999995</v>
      </c>
      <c r="S20" s="56">
        <f t="shared" si="3"/>
        <v>21.66</v>
      </c>
      <c r="T20" s="22">
        <v>0.75219999999999998</v>
      </c>
      <c r="U20" s="56">
        <f t="shared" si="4"/>
        <v>75.22</v>
      </c>
      <c r="V20" s="36"/>
    </row>
    <row r="21" spans="1:22" ht="15.75" thickBot="1" x14ac:dyDescent="0.3">
      <c r="A21" s="1">
        <v>20</v>
      </c>
      <c r="B21" s="65" t="s">
        <v>152</v>
      </c>
      <c r="C21" s="51" t="s">
        <v>123</v>
      </c>
      <c r="D21" s="44" t="s">
        <v>124</v>
      </c>
      <c r="E21" s="8" t="s">
        <v>159</v>
      </c>
      <c r="F21" s="8" t="s">
        <v>125</v>
      </c>
      <c r="G21" s="8" t="s">
        <v>126</v>
      </c>
      <c r="H21" s="31" t="s">
        <v>169</v>
      </c>
      <c r="I21" s="8" t="s">
        <v>122</v>
      </c>
      <c r="J21" s="9">
        <v>1</v>
      </c>
      <c r="K21" s="9">
        <f t="shared" si="0"/>
        <v>5</v>
      </c>
      <c r="L21" s="9">
        <f t="shared" si="5"/>
        <v>25</v>
      </c>
      <c r="M21" s="9">
        <f t="shared" si="6"/>
        <v>100</v>
      </c>
      <c r="N21" s="10">
        <v>0.6</v>
      </c>
      <c r="O21" s="10">
        <f t="shared" si="1"/>
        <v>0.6</v>
      </c>
      <c r="P21" s="10">
        <v>0.6</v>
      </c>
      <c r="Q21" s="10">
        <f t="shared" si="2"/>
        <v>3</v>
      </c>
      <c r="R21" s="10">
        <v>0.5</v>
      </c>
      <c r="S21" s="49">
        <f t="shared" si="3"/>
        <v>12.5</v>
      </c>
      <c r="T21" s="10">
        <v>0.4</v>
      </c>
      <c r="U21" s="49">
        <f t="shared" si="4"/>
        <v>40</v>
      </c>
      <c r="V21" s="32"/>
    </row>
    <row r="22" spans="1:22" ht="15.75" thickBot="1" x14ac:dyDescent="0.3">
      <c r="A22" s="1">
        <v>21</v>
      </c>
      <c r="B22" s="66"/>
      <c r="C22" s="53" t="s">
        <v>128</v>
      </c>
      <c r="D22" s="46" t="s">
        <v>129</v>
      </c>
      <c r="E22" s="15" t="s">
        <v>159</v>
      </c>
      <c r="F22" s="15" t="s">
        <v>127</v>
      </c>
      <c r="G22" s="15" t="s">
        <v>130</v>
      </c>
      <c r="H22" s="38" t="s">
        <v>169</v>
      </c>
      <c r="I22" s="15" t="s">
        <v>179</v>
      </c>
      <c r="J22" s="16">
        <v>1</v>
      </c>
      <c r="K22" s="16">
        <f t="shared" si="0"/>
        <v>5</v>
      </c>
      <c r="L22" s="16">
        <f t="shared" si="5"/>
        <v>25</v>
      </c>
      <c r="M22" s="16">
        <f t="shared" si="6"/>
        <v>100</v>
      </c>
      <c r="N22" s="17">
        <v>0.8</v>
      </c>
      <c r="O22" s="17">
        <f t="shared" si="1"/>
        <v>0.8</v>
      </c>
      <c r="P22" s="17">
        <v>0.8</v>
      </c>
      <c r="Q22" s="17">
        <f t="shared" si="2"/>
        <v>4</v>
      </c>
      <c r="R22" s="17">
        <v>0.75900000000000001</v>
      </c>
      <c r="S22" s="50">
        <f t="shared" si="3"/>
        <v>18.975000000000001</v>
      </c>
      <c r="T22" s="17">
        <v>0.627</v>
      </c>
      <c r="U22" s="50">
        <f t="shared" si="4"/>
        <v>62.7</v>
      </c>
      <c r="V22" s="35"/>
    </row>
    <row r="23" spans="1:22" ht="15.75" thickBot="1" x14ac:dyDescent="0.3">
      <c r="A23" s="1">
        <v>22</v>
      </c>
      <c r="B23" s="65" t="s">
        <v>153</v>
      </c>
      <c r="C23" s="51" t="s">
        <v>90</v>
      </c>
      <c r="D23" s="44" t="s">
        <v>91</v>
      </c>
      <c r="E23" s="8" t="s">
        <v>92</v>
      </c>
      <c r="F23" s="8" t="s">
        <v>89</v>
      </c>
      <c r="G23" s="8" t="s">
        <v>93</v>
      </c>
      <c r="H23" s="31" t="s">
        <v>169</v>
      </c>
      <c r="I23" s="8" t="s">
        <v>179</v>
      </c>
      <c r="J23" s="9">
        <v>1</v>
      </c>
      <c r="K23" s="9">
        <f t="shared" si="0"/>
        <v>5</v>
      </c>
      <c r="L23" s="9">
        <f t="shared" si="5"/>
        <v>25</v>
      </c>
      <c r="M23" s="9">
        <f t="shared" si="6"/>
        <v>100</v>
      </c>
      <c r="N23" s="23">
        <v>50.5</v>
      </c>
      <c r="O23" s="10">
        <f t="shared" si="1"/>
        <v>50.5</v>
      </c>
      <c r="P23" s="23">
        <v>50.5</v>
      </c>
      <c r="Q23" s="10">
        <f t="shared" si="2"/>
        <v>252.5</v>
      </c>
      <c r="R23" s="10">
        <v>50.5</v>
      </c>
      <c r="S23" s="49">
        <f t="shared" si="3"/>
        <v>1262.5</v>
      </c>
      <c r="T23" s="10">
        <v>50.5</v>
      </c>
      <c r="U23" s="49">
        <f t="shared" si="4"/>
        <v>5050</v>
      </c>
      <c r="V23" s="59" t="s">
        <v>156</v>
      </c>
    </row>
    <row r="24" spans="1:22" ht="15.75" thickBot="1" x14ac:dyDescent="0.3">
      <c r="A24" s="1">
        <v>23</v>
      </c>
      <c r="B24" s="70"/>
      <c r="C24" s="54" t="s">
        <v>95</v>
      </c>
      <c r="D24" s="39" t="s">
        <v>96</v>
      </c>
      <c r="E24" s="39" t="s">
        <v>97</v>
      </c>
      <c r="F24" s="39" t="s">
        <v>94</v>
      </c>
      <c r="G24" s="39" t="s">
        <v>98</v>
      </c>
      <c r="H24" s="43" t="s">
        <v>169</v>
      </c>
      <c r="I24" s="39" t="s">
        <v>179</v>
      </c>
      <c r="J24" s="40">
        <v>1</v>
      </c>
      <c r="K24" s="40">
        <f t="shared" si="0"/>
        <v>5</v>
      </c>
      <c r="L24" s="40">
        <f t="shared" si="5"/>
        <v>25</v>
      </c>
      <c r="M24" s="40">
        <f t="shared" si="6"/>
        <v>100</v>
      </c>
      <c r="N24" s="41">
        <v>2.02</v>
      </c>
      <c r="O24" s="41">
        <f t="shared" si="1"/>
        <v>2.02</v>
      </c>
      <c r="P24" s="41">
        <v>2.02</v>
      </c>
      <c r="Q24" s="41">
        <f t="shared" si="2"/>
        <v>10.1</v>
      </c>
      <c r="R24" s="41">
        <v>1.74</v>
      </c>
      <c r="S24" s="42">
        <f t="shared" si="3"/>
        <v>43.5</v>
      </c>
      <c r="T24" s="41">
        <v>1.48</v>
      </c>
      <c r="U24" s="37">
        <f t="shared" si="4"/>
        <v>148</v>
      </c>
      <c r="V24" s="48"/>
    </row>
    <row r="25" spans="1:22" ht="15.75" thickBot="1" x14ac:dyDescent="0.3">
      <c r="A25" s="1">
        <v>24</v>
      </c>
      <c r="B25" s="70"/>
      <c r="C25" s="52" t="s">
        <v>100</v>
      </c>
      <c r="D25" s="39" t="s">
        <v>101</v>
      </c>
      <c r="E25" s="12" t="s">
        <v>102</v>
      </c>
      <c r="F25" s="12" t="s">
        <v>99</v>
      </c>
      <c r="G25" s="12" t="s">
        <v>103</v>
      </c>
      <c r="H25" s="43" t="s">
        <v>169</v>
      </c>
      <c r="I25" s="12" t="s">
        <v>179</v>
      </c>
      <c r="J25" s="13">
        <v>1</v>
      </c>
      <c r="K25" s="13">
        <f t="shared" si="0"/>
        <v>5</v>
      </c>
      <c r="L25" s="13">
        <f t="shared" si="5"/>
        <v>25</v>
      </c>
      <c r="M25" s="13">
        <f t="shared" si="6"/>
        <v>100</v>
      </c>
      <c r="N25" s="24">
        <v>10.4</v>
      </c>
      <c r="O25" s="14">
        <f t="shared" si="1"/>
        <v>10.4</v>
      </c>
      <c r="P25" s="24">
        <v>8.9499999999999993</v>
      </c>
      <c r="Q25" s="14">
        <f t="shared" si="2"/>
        <v>44.75</v>
      </c>
      <c r="R25" s="14">
        <v>8.19</v>
      </c>
      <c r="S25" s="37">
        <f t="shared" si="3"/>
        <v>204.75</v>
      </c>
      <c r="T25" s="14">
        <v>7.1</v>
      </c>
      <c r="U25" s="37">
        <f t="shared" si="4"/>
        <v>710</v>
      </c>
      <c r="V25" s="34"/>
    </row>
    <row r="26" spans="1:22" ht="15.75" thickBot="1" x14ac:dyDescent="0.3">
      <c r="A26" s="1">
        <v>25</v>
      </c>
      <c r="B26" s="70"/>
      <c r="C26" s="52" t="s">
        <v>105</v>
      </c>
      <c r="D26" s="39" t="s">
        <v>106</v>
      </c>
      <c r="E26" s="12" t="s">
        <v>107</v>
      </c>
      <c r="F26" s="12" t="s">
        <v>104</v>
      </c>
      <c r="G26" s="12" t="s">
        <v>108</v>
      </c>
      <c r="H26" s="43" t="s">
        <v>169</v>
      </c>
      <c r="I26" s="12" t="s">
        <v>179</v>
      </c>
      <c r="J26" s="13">
        <v>1</v>
      </c>
      <c r="K26" s="13">
        <f t="shared" si="0"/>
        <v>5</v>
      </c>
      <c r="L26" s="13">
        <f t="shared" si="5"/>
        <v>25</v>
      </c>
      <c r="M26" s="13">
        <f t="shared" si="6"/>
        <v>100</v>
      </c>
      <c r="N26" s="14">
        <v>13.55</v>
      </c>
      <c r="O26" s="14">
        <f t="shared" si="1"/>
        <v>13.55</v>
      </c>
      <c r="P26" s="14">
        <v>8.8000000000000007</v>
      </c>
      <c r="Q26" s="14">
        <f t="shared" si="2"/>
        <v>44</v>
      </c>
      <c r="R26" s="14">
        <v>7.04</v>
      </c>
      <c r="S26" s="37">
        <f t="shared" si="3"/>
        <v>176</v>
      </c>
      <c r="T26" s="14">
        <v>5.6319999999999997</v>
      </c>
      <c r="U26" s="37">
        <f t="shared" si="4"/>
        <v>563.19999999999993</v>
      </c>
      <c r="V26" s="58" t="s">
        <v>156</v>
      </c>
    </row>
    <row r="27" spans="1:22" ht="15.75" thickBot="1" x14ac:dyDescent="0.3">
      <c r="A27" s="1">
        <v>26</v>
      </c>
      <c r="B27" s="70"/>
      <c r="C27" s="52" t="s">
        <v>110</v>
      </c>
      <c r="D27" s="39" t="s">
        <v>111</v>
      </c>
      <c r="E27" s="12" t="s">
        <v>112</v>
      </c>
      <c r="F27" s="12" t="s">
        <v>109</v>
      </c>
      <c r="G27" s="12" t="s">
        <v>98</v>
      </c>
      <c r="H27" s="43" t="s">
        <v>169</v>
      </c>
      <c r="I27" s="12" t="s">
        <v>179</v>
      </c>
      <c r="J27" s="13">
        <v>1</v>
      </c>
      <c r="K27" s="13">
        <f t="shared" si="0"/>
        <v>5</v>
      </c>
      <c r="L27" s="13">
        <f t="shared" si="5"/>
        <v>25</v>
      </c>
      <c r="M27" s="13">
        <f t="shared" si="6"/>
        <v>100</v>
      </c>
      <c r="N27" s="14">
        <v>0.47</v>
      </c>
      <c r="O27" s="14">
        <f t="shared" si="1"/>
        <v>0.47</v>
      </c>
      <c r="P27" s="14">
        <v>0.47</v>
      </c>
      <c r="Q27" s="14">
        <f t="shared" si="2"/>
        <v>2.3499999999999996</v>
      </c>
      <c r="R27" s="14">
        <v>0.3508</v>
      </c>
      <c r="S27" s="37">
        <f t="shared" si="3"/>
        <v>8.77</v>
      </c>
      <c r="T27" s="14">
        <v>0.26119999999999999</v>
      </c>
      <c r="U27" s="37">
        <f t="shared" si="4"/>
        <v>26.119999999999997</v>
      </c>
      <c r="V27" s="58" t="s">
        <v>144</v>
      </c>
    </row>
    <row r="28" spans="1:22" ht="15.75" thickBot="1" x14ac:dyDescent="0.3">
      <c r="A28" s="1">
        <v>27</v>
      </c>
      <c r="B28" s="70"/>
      <c r="C28" s="52" t="s">
        <v>114</v>
      </c>
      <c r="D28" s="39" t="s">
        <v>115</v>
      </c>
      <c r="E28" s="12" t="s">
        <v>116</v>
      </c>
      <c r="F28" s="12" t="s">
        <v>113</v>
      </c>
      <c r="G28" s="12" t="s">
        <v>117</v>
      </c>
      <c r="H28" s="43" t="s">
        <v>169</v>
      </c>
      <c r="I28" s="12" t="s">
        <v>179</v>
      </c>
      <c r="J28" s="13">
        <v>1</v>
      </c>
      <c r="K28" s="13">
        <f t="shared" si="0"/>
        <v>5</v>
      </c>
      <c r="L28" s="13">
        <f t="shared" si="5"/>
        <v>25</v>
      </c>
      <c r="M28" s="13">
        <f t="shared" si="6"/>
        <v>100</v>
      </c>
      <c r="N28" s="14">
        <v>0.9</v>
      </c>
      <c r="O28" s="14">
        <f t="shared" si="1"/>
        <v>0.9</v>
      </c>
      <c r="P28" s="14">
        <v>0.9</v>
      </c>
      <c r="Q28" s="14">
        <f t="shared" si="2"/>
        <v>4.5</v>
      </c>
      <c r="R28" s="14">
        <v>0.75280000000000002</v>
      </c>
      <c r="S28" s="37">
        <f t="shared" si="3"/>
        <v>18.82</v>
      </c>
      <c r="T28" s="14">
        <v>0.70499999999999996</v>
      </c>
      <c r="U28" s="37">
        <f t="shared" si="4"/>
        <v>70.5</v>
      </c>
      <c r="V28" s="58" t="s">
        <v>144</v>
      </c>
    </row>
    <row r="29" spans="1:22" ht="15.75" thickBot="1" x14ac:dyDescent="0.3">
      <c r="A29" s="1">
        <v>28</v>
      </c>
      <c r="B29" s="66"/>
      <c r="C29" s="53" t="s">
        <v>119</v>
      </c>
      <c r="D29" s="46" t="s">
        <v>120</v>
      </c>
      <c r="E29" s="15" t="s">
        <v>121</v>
      </c>
      <c r="F29" s="15" t="s">
        <v>118</v>
      </c>
      <c r="G29" s="15" t="s">
        <v>40</v>
      </c>
      <c r="H29" s="57" t="s">
        <v>169</v>
      </c>
      <c r="I29" s="15" t="s">
        <v>179</v>
      </c>
      <c r="J29" s="16">
        <v>1</v>
      </c>
      <c r="K29" s="16">
        <f t="shared" si="0"/>
        <v>5</v>
      </c>
      <c r="L29" s="16">
        <f t="shared" si="5"/>
        <v>25</v>
      </c>
      <c r="M29" s="16">
        <f t="shared" si="6"/>
        <v>100</v>
      </c>
      <c r="N29" s="17">
        <v>0.47</v>
      </c>
      <c r="O29" s="17">
        <f t="shared" si="1"/>
        <v>0.47</v>
      </c>
      <c r="P29" s="17">
        <v>0.47</v>
      </c>
      <c r="Q29" s="17">
        <f t="shared" si="2"/>
        <v>2.3499999999999996</v>
      </c>
      <c r="R29" s="17">
        <v>0.4244</v>
      </c>
      <c r="S29" s="50">
        <f t="shared" si="3"/>
        <v>10.61</v>
      </c>
      <c r="T29" s="17">
        <v>0.37490000000000001</v>
      </c>
      <c r="U29" s="50">
        <f t="shared" si="4"/>
        <v>37.49</v>
      </c>
      <c r="V29" s="35"/>
    </row>
    <row r="30" spans="1:22" ht="15.75" thickBot="1" x14ac:dyDescent="0.3">
      <c r="A30" s="1">
        <v>29</v>
      </c>
      <c r="B30" s="65" t="s">
        <v>154</v>
      </c>
      <c r="C30" s="51" t="s">
        <v>42</v>
      </c>
      <c r="D30" s="44" t="s">
        <v>43</v>
      </c>
      <c r="E30" s="8" t="s">
        <v>159</v>
      </c>
      <c r="F30" s="8" t="s">
        <v>41</v>
      </c>
      <c r="G30" s="8" t="s">
        <v>44</v>
      </c>
      <c r="H30" s="31" t="s">
        <v>169</v>
      </c>
      <c r="I30" s="8" t="s">
        <v>180</v>
      </c>
      <c r="J30" s="9">
        <v>1</v>
      </c>
      <c r="K30" s="9">
        <f t="shared" si="0"/>
        <v>5</v>
      </c>
      <c r="L30" s="9">
        <f t="shared" si="5"/>
        <v>25</v>
      </c>
      <c r="M30" s="9">
        <f t="shared" si="6"/>
        <v>100</v>
      </c>
      <c r="N30" s="25">
        <v>1.27</v>
      </c>
      <c r="O30" s="10">
        <f t="shared" si="1"/>
        <v>1.27</v>
      </c>
      <c r="P30" s="25">
        <v>1.27</v>
      </c>
      <c r="Q30" s="10">
        <f t="shared" si="2"/>
        <v>6.35</v>
      </c>
      <c r="R30" s="10">
        <v>1.17</v>
      </c>
      <c r="S30" s="49">
        <f t="shared" si="3"/>
        <v>29.25</v>
      </c>
      <c r="T30" s="10">
        <v>1.17</v>
      </c>
      <c r="U30" s="49">
        <f t="shared" si="4"/>
        <v>117</v>
      </c>
      <c r="V30" s="32"/>
    </row>
    <row r="31" spans="1:22" ht="15.75" thickBot="1" x14ac:dyDescent="0.3">
      <c r="A31" s="60">
        <v>30</v>
      </c>
      <c r="B31" s="66"/>
      <c r="C31" s="53" t="s">
        <v>55</v>
      </c>
      <c r="D31" s="46" t="s">
        <v>56</v>
      </c>
      <c r="E31" s="15" t="s">
        <v>159</v>
      </c>
      <c r="F31" s="15" t="s">
        <v>54</v>
      </c>
      <c r="G31" s="15" t="s">
        <v>57</v>
      </c>
      <c r="H31" s="38" t="s">
        <v>169</v>
      </c>
      <c r="I31" s="15" t="s">
        <v>179</v>
      </c>
      <c r="J31" s="16">
        <v>1</v>
      </c>
      <c r="K31" s="16">
        <f t="shared" si="0"/>
        <v>5</v>
      </c>
      <c r="L31" s="16">
        <f t="shared" si="5"/>
        <v>25</v>
      </c>
      <c r="M31" s="16">
        <f t="shared" si="6"/>
        <v>100</v>
      </c>
      <c r="N31" s="16">
        <v>0.41</v>
      </c>
      <c r="O31" s="17">
        <f t="shared" si="1"/>
        <v>0.41</v>
      </c>
      <c r="P31" s="17">
        <v>0.41</v>
      </c>
      <c r="Q31" s="17">
        <f t="shared" si="2"/>
        <v>2.0499999999999998</v>
      </c>
      <c r="R31" s="17">
        <v>0.33360000000000001</v>
      </c>
      <c r="S31" s="50">
        <f t="shared" si="3"/>
        <v>8.34</v>
      </c>
      <c r="T31" s="17">
        <v>0.27239999999999998</v>
      </c>
      <c r="U31" s="50">
        <f t="shared" si="4"/>
        <v>27.24</v>
      </c>
      <c r="V31" s="35"/>
    </row>
    <row r="32" spans="1:22" ht="19.5" thickBot="1" x14ac:dyDescent="0.35">
      <c r="J32" s="63" t="s">
        <v>157</v>
      </c>
      <c r="K32" s="63"/>
      <c r="L32" s="63"/>
      <c r="M32" s="63"/>
      <c r="N32" s="63"/>
      <c r="Q32" s="3">
        <f>SUM(Q3:Q31)</f>
        <v>402.92000000000013</v>
      </c>
      <c r="R32" s="3"/>
      <c r="S32" s="3">
        <f>SUM(S3:S31)</f>
        <v>1889.4874999999997</v>
      </c>
      <c r="T32" s="3"/>
      <c r="U32" s="3">
        <f>SUM(U3:U31)</f>
        <v>7123.5899999999992</v>
      </c>
    </row>
    <row r="33" spans="10:21" ht="18.75" x14ac:dyDescent="0.3">
      <c r="J33" s="64" t="s">
        <v>158</v>
      </c>
      <c r="K33" s="64"/>
      <c r="L33" s="64"/>
      <c r="M33" s="64"/>
      <c r="N33" s="64"/>
      <c r="O33" s="2">
        <f>SUM(O3:O31)</f>
        <v>88.304000000000002</v>
      </c>
      <c r="Q33" s="4">
        <f>Q32/5</f>
        <v>80.584000000000032</v>
      </c>
      <c r="R33" s="4"/>
      <c r="S33" s="4">
        <f>S32/25</f>
        <v>75.579499999999996</v>
      </c>
      <c r="T33" s="4"/>
      <c r="U33" s="4">
        <f>U32/100</f>
        <v>71.235899999999987</v>
      </c>
    </row>
  </sheetData>
  <mergeCells count="9">
    <mergeCell ref="J32:N32"/>
    <mergeCell ref="J33:N33"/>
    <mergeCell ref="B30:B31"/>
    <mergeCell ref="A1:V1"/>
    <mergeCell ref="B3:B8"/>
    <mergeCell ref="B9:B11"/>
    <mergeCell ref="B14:B19"/>
    <mergeCell ref="B21:B22"/>
    <mergeCell ref="B23:B29"/>
  </mergeCells>
  <conditionalFormatting sqref="O33:U3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{70EE1023-228D-423C-ADF5-29102BB53C0F}</x14:id>
        </ext>
      </extLst>
    </cfRule>
  </conditionalFormatting>
  <conditionalFormatting sqref="O3:O3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{31993F18-4C5F-4176-9D23-BFACE9C28768}</x14:id>
        </ext>
      </extLst>
    </cfRule>
  </conditionalFormatting>
  <conditionalFormatting sqref="Q3:U31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{BC439CAB-0450-4930-B07F-0CD52FB2A12C}</x14:id>
        </ext>
      </extLst>
    </cfRule>
  </conditionalFormatting>
  <conditionalFormatting sqref="J3:M3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30555555555555558" right="0.30555555555555558" top="0.30555555555555558" bottom="0.30555555555555558" header="0" footer="0"/>
  <pageSetup scale="39" orientation="landscape" blackAndWhite="1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EE1023-228D-423C-ADF5-29102BB53C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O33:U33</xm:sqref>
        </x14:conditionalFormatting>
        <x14:conditionalFormatting xmlns:xm="http://schemas.microsoft.com/office/excel/2006/main">
          <x14:cfRule type="dataBar" id="{31993F18-4C5F-4176-9D23-BFACE9C287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O3:O31</xm:sqref>
        </x14:conditionalFormatting>
        <x14:conditionalFormatting xmlns:xm="http://schemas.microsoft.com/office/excel/2006/main">
          <x14:cfRule type="dataBar" id="{BC439CAB-0450-4930-B07F-0CD52FB2A1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Q3:U31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SM_Bottom_Board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Waqar</cp:lastModifiedBy>
  <dcterms:created xsi:type="dcterms:W3CDTF">2021-07-08T08:22:22Z</dcterms:created>
  <dcterms:modified xsi:type="dcterms:W3CDTF">2021-08-02T13:54:36Z</dcterms:modified>
</cp:coreProperties>
</file>