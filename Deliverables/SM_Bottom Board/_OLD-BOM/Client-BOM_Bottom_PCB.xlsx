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D:\eSpark\ColeBenson-SmartMotors\Deliverables\SM_Bottom Board\_BOM\"/>
    </mc:Choice>
  </mc:AlternateContent>
  <xr:revisionPtr revIDLastSave="0" documentId="13_ncr:1_{9904CAF1-D14C-4FA0-B9DB-ED4CEDE5700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M_Bottom_Board" sheetId="1" r:id="rId1"/>
  </sheets>
  <definedNames>
    <definedName name="_xlnm.Print_Titles" localSheetId="0">SM_Bottom_Board!#REF!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3" i="1" l="1"/>
  <c r="P30" i="1"/>
  <c r="R22" i="1"/>
  <c r="R23" i="1"/>
  <c r="R24" i="1"/>
  <c r="R25" i="1"/>
  <c r="R26" i="1"/>
  <c r="R27" i="1"/>
  <c r="R28" i="1"/>
  <c r="R29" i="1"/>
  <c r="R30" i="1"/>
  <c r="R31" i="1"/>
  <c r="R32" i="1"/>
  <c r="R20" i="1"/>
  <c r="R21" i="1"/>
  <c r="R12" i="1"/>
  <c r="M30" i="1"/>
  <c r="P22" i="1"/>
  <c r="P20" i="1"/>
  <c r="R10" i="1"/>
  <c r="P10" i="1"/>
  <c r="R9" i="1"/>
  <c r="P7" i="1"/>
  <c r="R5" i="1"/>
  <c r="R6" i="1"/>
  <c r="R4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1" i="1"/>
  <c r="M32" i="1"/>
  <c r="M3" i="1"/>
  <c r="P26" i="1" l="1"/>
  <c r="R15" i="1"/>
  <c r="R16" i="1"/>
  <c r="R17" i="1"/>
  <c r="R18" i="1"/>
  <c r="R19" i="1"/>
  <c r="P16" i="1"/>
  <c r="P17" i="1"/>
  <c r="P18" i="1"/>
  <c r="P19" i="1"/>
  <c r="P15" i="1"/>
  <c r="R14" i="1"/>
  <c r="P14" i="1"/>
  <c r="R13" i="1"/>
  <c r="P13" i="1"/>
  <c r="P12" i="1"/>
  <c r="R11" i="1"/>
  <c r="P11" i="1"/>
  <c r="P9" i="1" l="1"/>
  <c r="R8" i="1"/>
  <c r="P8" i="1"/>
  <c r="R7" i="1"/>
  <c r="P6" i="1"/>
  <c r="P5" i="1"/>
  <c r="P4" i="1"/>
  <c r="R3" i="1"/>
  <c r="R34" i="1" s="1"/>
  <c r="R35" i="1" s="1"/>
  <c r="P3" i="1"/>
  <c r="P21" i="1" l="1"/>
  <c r="P23" i="1"/>
  <c r="P24" i="1"/>
  <c r="P25" i="1"/>
  <c r="P27" i="1"/>
  <c r="P28" i="1"/>
  <c r="P29" i="1"/>
  <c r="P31" i="1"/>
  <c r="P32" i="1"/>
  <c r="P35" i="1" l="1"/>
</calcChain>
</file>

<file path=xl/sharedStrings.xml><?xml version="1.0" encoding="utf-8"?>
<sst xmlns="http://schemas.openxmlformats.org/spreadsheetml/2006/main" count="312" uniqueCount="214">
  <si>
    <t>Description</t>
  </si>
  <si>
    <t>Designator</t>
  </si>
  <si>
    <t>Manufacturer</t>
  </si>
  <si>
    <t>Manufacturer Part Number</t>
  </si>
  <si>
    <t>4.7UF</t>
  </si>
  <si>
    <t>CAP CER 4.7UF 25V X5R 0603</t>
  </si>
  <si>
    <t>C1</t>
  </si>
  <si>
    <t>Cap0603</t>
  </si>
  <si>
    <t>CL10A475KA8NQNC</t>
  </si>
  <si>
    <t>Samsung</t>
  </si>
  <si>
    <t>0.1uF</t>
  </si>
  <si>
    <t>CL10B104KB8NNNC</t>
  </si>
  <si>
    <t>1uF</t>
  </si>
  <si>
    <t>CAP TANT 1UF 20% 25V 0603</t>
  </si>
  <si>
    <t>C12</t>
  </si>
  <si>
    <t>F981E105MMA</t>
  </si>
  <si>
    <t>Kyocera AVX</t>
  </si>
  <si>
    <t>2.2uF</t>
  </si>
  <si>
    <t>CAP, 2.2µF, 35V, 10%, X5R, 0603</t>
  </si>
  <si>
    <t>C13, C14</t>
  </si>
  <si>
    <t>Cap 0603</t>
  </si>
  <si>
    <t>GRM188R6YA225KA12D</t>
  </si>
  <si>
    <t>Murata</t>
  </si>
  <si>
    <t>10pF</t>
  </si>
  <si>
    <t>CAP CER 10PF 25V C0G 0201</t>
  </si>
  <si>
    <t>C16, C17, C18, C19</t>
  </si>
  <si>
    <t>CAP 0201</t>
  </si>
  <si>
    <t>CGA1A2C0G1E100D030BA</t>
  </si>
  <si>
    <t>TDK</t>
  </si>
  <si>
    <t>10uF'</t>
  </si>
  <si>
    <t>CAP CER 10UF 25V X5R 0603</t>
  </si>
  <si>
    <t>C31</t>
  </si>
  <si>
    <t>CL10A106MA8NRNC</t>
  </si>
  <si>
    <t>AZ6225-01F.R7GR</t>
  </si>
  <si>
    <t>Bidirectional 2.5V 3.5V 5V 20A (8/20us) DFN1006P2E TVS RoHS</t>
  </si>
  <si>
    <t>D1, D2</t>
  </si>
  <si>
    <t>AMAZING</t>
  </si>
  <si>
    <t>DFN1006P2E</t>
  </si>
  <si>
    <t>ESD9L5.0ST5G</t>
  </si>
  <si>
    <t>TVS DIODE 5V 9.8V SOD923</t>
  </si>
  <si>
    <t>D12</t>
  </si>
  <si>
    <t>SOD-923</t>
  </si>
  <si>
    <t>ON Semiconductor</t>
  </si>
  <si>
    <t>M55-6012042R</t>
  </si>
  <si>
    <t>CONN RCPT 1.27MM DUAL SMD 20POS</t>
  </si>
  <si>
    <t>J3</t>
  </si>
  <si>
    <t>Harwin</t>
  </si>
  <si>
    <t>FBMH1608HL121-TV</t>
  </si>
  <si>
    <t>L1</t>
  </si>
  <si>
    <t>IND 0603</t>
  </si>
  <si>
    <t>Taiyo Yuden</t>
  </si>
  <si>
    <t>XZVG68W-2</t>
  </si>
  <si>
    <t>LED GREEN CLEAR CHIP SMD</t>
  </si>
  <si>
    <t>LED1</t>
  </si>
  <si>
    <t>LED 0402</t>
  </si>
  <si>
    <t>SunLED</t>
  </si>
  <si>
    <t>SMC-1-05-1-GT</t>
  </si>
  <si>
    <t>MACHINE PIN SOCKET 5P 2.54MM PIT</t>
  </si>
  <si>
    <t>P1</t>
  </si>
  <si>
    <t>Adam Equipment</t>
  </si>
  <si>
    <t>MMBT2222A-7-F</t>
  </si>
  <si>
    <t>TRANS NPN 40V 0.6A SMD SOT23-3</t>
  </si>
  <si>
    <t>Q1, Q2</t>
  </si>
  <si>
    <t>SOT-23</t>
  </si>
  <si>
    <t>Diodes</t>
  </si>
  <si>
    <t>100R</t>
  </si>
  <si>
    <t>RES SMD 100 OHM 1% 1/10W 0603</t>
  </si>
  <si>
    <t>R1</t>
  </si>
  <si>
    <t>Res0603</t>
  </si>
  <si>
    <t>RC0603FR-07100RL</t>
  </si>
  <si>
    <t>Yageo</t>
  </si>
  <si>
    <t>10K</t>
  </si>
  <si>
    <t>RES SMD 10K Ohm 1% 1/10W 0603</t>
  </si>
  <si>
    <t>RC0603FR-0710KL</t>
  </si>
  <si>
    <t>806R</t>
  </si>
  <si>
    <t>R3</t>
  </si>
  <si>
    <t>Res-0201</t>
  </si>
  <si>
    <t>RMCF0201FT806R</t>
  </si>
  <si>
    <t>Stackpole Electronics</t>
  </si>
  <si>
    <t>1K</t>
  </si>
  <si>
    <t>RES SMD 1K 0.1W 0603  75 V, Thick Film</t>
  </si>
  <si>
    <t>R4, R5</t>
  </si>
  <si>
    <t>RC0603JR-071KL</t>
  </si>
  <si>
    <t>470R</t>
  </si>
  <si>
    <t>RES SMD 470 OHM 50 V, 0603 100 mW,  1%,</t>
  </si>
  <si>
    <t>R6</t>
  </si>
  <si>
    <t>RC0603FR-07470RL</t>
  </si>
  <si>
    <t>R7, R8</t>
  </si>
  <si>
    <t>B3U-1000P</t>
  </si>
  <si>
    <t>SWITCH TACTILE SPST-NO 0.05A 12V</t>
  </si>
  <si>
    <t>SW1</t>
  </si>
  <si>
    <t>Omron</t>
  </si>
  <si>
    <t>STM32F407VGT7TR</t>
  </si>
  <si>
    <t>IC MCU 32BIT 1MB FLASH 100LQFP</t>
  </si>
  <si>
    <t>U1</t>
  </si>
  <si>
    <t>LQFP-100</t>
  </si>
  <si>
    <t>STMicroelectronics</t>
  </si>
  <si>
    <t>SN65HVDA1040BQDRQ1</t>
  </si>
  <si>
    <t>IC TRANSCEIVER 1/1 8SOIC</t>
  </si>
  <si>
    <t>U2</t>
  </si>
  <si>
    <t>SOIC-8</t>
  </si>
  <si>
    <t>Texas Instruments</t>
  </si>
  <si>
    <t>AEAT-8800-Q24</t>
  </si>
  <si>
    <t>ROTARY ENCODER MAGNETIC 4096PPR</t>
  </si>
  <si>
    <t>U3</t>
  </si>
  <si>
    <t>QFN-24</t>
  </si>
  <si>
    <t>Broadcom Avago</t>
  </si>
  <si>
    <t>ICM-20649</t>
  </si>
  <si>
    <t>WIDE-FULL SCALE RANGE 6-AXIS MEM</t>
  </si>
  <si>
    <t>U4</t>
  </si>
  <si>
    <t>24-QFN (3x3)</t>
  </si>
  <si>
    <t>TDK InvenSense</t>
  </si>
  <si>
    <t>SN74LV1T34DBVR</t>
  </si>
  <si>
    <t>IC BUF NON-INVERT 5.5V SOT23-5</t>
  </si>
  <si>
    <t>U5</t>
  </si>
  <si>
    <t>SOT-23-5</t>
  </si>
  <si>
    <t>MCP9805-BE/ST</t>
  </si>
  <si>
    <t>IC SENSOR THERMAL 3.0V 8TSSOP</t>
  </si>
  <si>
    <t>U9</t>
  </si>
  <si>
    <t>8-TSSOP</t>
  </si>
  <si>
    <t>Microchip</t>
  </si>
  <si>
    <t>CAT24C32HU4I-GT3</t>
  </si>
  <si>
    <t>IC EEPROM 32KBIT I2C 1MHZ 8UDFN</t>
  </si>
  <si>
    <t>U10</t>
  </si>
  <si>
    <t>8-UDFN-EP (2x3)</t>
  </si>
  <si>
    <t>20MHz</t>
  </si>
  <si>
    <t>CRYSTAL 20.0000MHZ 18PF SMD</t>
  </si>
  <si>
    <t>X1</t>
  </si>
  <si>
    <t>HCM4920000000ABJT</t>
  </si>
  <si>
    <t>CITIZEN</t>
  </si>
  <si>
    <t>ECS-.327-7-34B-C-TR</t>
  </si>
  <si>
    <t>Crystals 32.768KHz 7pF</t>
  </si>
  <si>
    <t>X2</t>
  </si>
  <si>
    <t>ECS International</t>
  </si>
  <si>
    <t>S. No.</t>
  </si>
  <si>
    <t>Components</t>
  </si>
  <si>
    <t>Footprint (Package)</t>
  </si>
  <si>
    <t>Alternate</t>
  </si>
  <si>
    <t>Value</t>
  </si>
  <si>
    <t>Quantity (Per Board)</t>
  </si>
  <si>
    <t>Unit Cost(1)</t>
  </si>
  <si>
    <t>Total Cost(1)</t>
  </si>
  <si>
    <t>Remarks</t>
  </si>
  <si>
    <t>Bill of Material (BOM) for Cole Benson</t>
  </si>
  <si>
    <t>Capacitor</t>
  </si>
  <si>
    <t>Diode</t>
  </si>
  <si>
    <t>Mosfet</t>
  </si>
  <si>
    <t>Resistor</t>
  </si>
  <si>
    <t>Switch</t>
  </si>
  <si>
    <t>Crystal</t>
  </si>
  <si>
    <t>Ics</t>
  </si>
  <si>
    <t>Connectors</t>
  </si>
  <si>
    <t>LCSC</t>
  </si>
  <si>
    <t xml:space="preserve">Total Component Cost </t>
  </si>
  <si>
    <t>Single Board Cost</t>
  </si>
  <si>
    <t>Aliexpress</t>
  </si>
  <si>
    <t>LCSC MOQ</t>
  </si>
  <si>
    <t>C69335</t>
  </si>
  <si>
    <t>C1591</t>
  </si>
  <si>
    <t>C161370</t>
  </si>
  <si>
    <t>GRM0335C1E100JA01D</t>
  </si>
  <si>
    <t>16-213/GHC-YR1S1/3T</t>
  </si>
  <si>
    <t>C74338</t>
  </si>
  <si>
    <t>C515365</t>
  </si>
  <si>
    <t>C94515</t>
  </si>
  <si>
    <t>C105588</t>
  </si>
  <si>
    <t>C98220</t>
  </si>
  <si>
    <t>0201WMF8060TEE</t>
  </si>
  <si>
    <t>C474262</t>
  </si>
  <si>
    <t>C14676</t>
  </si>
  <si>
    <t>C114669</t>
  </si>
  <si>
    <t>C100024</t>
  </si>
  <si>
    <t>Chipmall</t>
  </si>
  <si>
    <t>Heisener</t>
  </si>
  <si>
    <t>Res SMD 0603 57.6Ohm 1% 1/10W</t>
  </si>
  <si>
    <t>RC0603FR-0757R6L</t>
  </si>
  <si>
    <t>C245984</t>
  </si>
  <si>
    <t>57R6</t>
  </si>
  <si>
    <t>---------</t>
  </si>
  <si>
    <t xml:space="preserve">CAP CER 0.1UF 50V X7R 0603
</t>
  </si>
  <si>
    <t>LCSC Part No:</t>
  </si>
  <si>
    <t>-------</t>
  </si>
  <si>
    <t>C1608X5R1V225KT000E</t>
  </si>
  <si>
    <t>C342978</t>
  </si>
  <si>
    <t>Quantity 25</t>
  </si>
  <si>
    <t>C2922482</t>
  </si>
  <si>
    <t>C2, C3, C4, C5, C6, C7, C8, C9, C10, C11, C15, C20, C32, C33, C34, C35, C36, C37, C50 , CF1</t>
  </si>
  <si>
    <t>--------</t>
  </si>
  <si>
    <t>----</t>
  </si>
  <si>
    <t>Alibaba</t>
  </si>
  <si>
    <t>MOQ=100</t>
  </si>
  <si>
    <t>C82326</t>
  </si>
  <si>
    <t xml:space="preserve">FERRITE BEAD 120 OHM 0603 1LN
</t>
  </si>
  <si>
    <t>---</t>
  </si>
  <si>
    <t>R2, R27, RF1, RF2, RF3, RF4, RF5</t>
  </si>
  <si>
    <t xml:space="preserve">RES 806 OHM 1% 1/20W 0201
</t>
  </si>
  <si>
    <t>------</t>
  </si>
  <si>
    <t>Custom</t>
  </si>
  <si>
    <t>Utsource</t>
  </si>
  <si>
    <t>-----</t>
  </si>
  <si>
    <t>3A Surface Mount Header 1x2 SMD,P=2.54mm Pin Headers ROHS</t>
  </si>
  <si>
    <t>J2</t>
  </si>
  <si>
    <t>MH254RS-11-02-1000</t>
  </si>
  <si>
    <t>XFCN</t>
  </si>
  <si>
    <t>C668122</t>
  </si>
  <si>
    <t>Solder Bridge ON</t>
  </si>
  <si>
    <t>SB1</t>
  </si>
  <si>
    <t>Solder Bridge</t>
  </si>
  <si>
    <t>Inductor</t>
  </si>
  <si>
    <t>Unit Cost (25 Boards)</t>
  </si>
  <si>
    <t>Total Cost (25)</t>
  </si>
  <si>
    <t xml:space="preserve">DO NOT MOUNT </t>
  </si>
  <si>
    <t xml:space="preserve"> Link</t>
  </si>
  <si>
    <t>Custom 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</si>
</sst>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.000"/>
  </numFmts>
  <fonts count="1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444444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2E3438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333333"/>
      <name val="Calibri"/>
      <family val="2"/>
      <scheme val="minor"/>
    </font>
    <font>
      <sz val="10"/>
      <color rgb="FF000000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strike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0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165" fontId="0" fillId="0" borderId="0" xfId="0" applyNumberFormat="1" applyFont="1" applyAlignment="1">
      <alignment horizontal="center" vertical="center"/>
    </xf>
    <xf numFmtId="165" fontId="0" fillId="0" borderId="0" xfId="0" applyNumberFormat="1"/>
    <xf numFmtId="164" fontId="0" fillId="0" borderId="0" xfId="0" applyNumberFormat="1"/>
    <xf numFmtId="0" fontId="3" fillId="0" borderId="5" xfId="0" applyFont="1" applyBorder="1" applyAlignment="1">
      <alignment horizontal="center" vertical="center"/>
    </xf>
    <xf numFmtId="0" fontId="6" fillId="0" borderId="8" xfId="0" quotePrefix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65" fontId="6" fillId="0" borderId="8" xfId="0" applyNumberFormat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6" fillId="0" borderId="11" xfId="0" quotePrefix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65" fontId="6" fillId="0" borderId="11" xfId="0" applyNumberFormat="1" applyFont="1" applyBorder="1" applyAlignment="1">
      <alignment horizontal="center" vertical="center"/>
    </xf>
    <xf numFmtId="165" fontId="9" fillId="0" borderId="8" xfId="0" applyNumberFormat="1" applyFont="1" applyBorder="1" applyAlignment="1">
      <alignment horizontal="center" vertical="center"/>
    </xf>
    <xf numFmtId="0" fontId="6" fillId="0" borderId="13" xfId="0" quotePrefix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65" fontId="6" fillId="0" borderId="13" xfId="0" applyNumberFormat="1" applyFont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165" fontId="11" fillId="0" borderId="1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4" fillId="0" borderId="8" xfId="1" applyBorder="1" applyAlignment="1">
      <alignment horizontal="center" vertical="center"/>
    </xf>
    <xf numFmtId="0" fontId="4" fillId="0" borderId="1" xfId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 wrapText="1"/>
    </xf>
    <xf numFmtId="0" fontId="7" fillId="0" borderId="8" xfId="0" quotePrefix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7" fillId="0" borderId="1" xfId="0" quotePrefix="1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 vertical="center"/>
    </xf>
    <xf numFmtId="0" fontId="11" fillId="0" borderId="8" xfId="0" quotePrefix="1" applyFont="1" applyBorder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13" xfId="0" quotePrefix="1" applyFont="1" applyBorder="1" applyAlignment="1">
      <alignment horizontal="center" vertical="center"/>
    </xf>
    <xf numFmtId="0" fontId="11" fillId="0" borderId="11" xfId="0" quotePrefix="1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quotePrefix="1" applyFont="1" applyBorder="1" applyAlignment="1">
      <alignment horizontal="center" vertical="center"/>
    </xf>
    <xf numFmtId="0" fontId="6" fillId="0" borderId="15" xfId="0" quotePrefix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165" fontId="6" fillId="0" borderId="16" xfId="0" applyNumberFormat="1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4" fillId="4" borderId="11" xfId="0" quotePrefix="1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/>
    </xf>
    <xf numFmtId="0" fontId="4" fillId="0" borderId="1" xfId="1" applyBorder="1" applyAlignment="1">
      <alignment horizontal="center" vertical="center"/>
    </xf>
    <xf numFmtId="0" fontId="11" fillId="0" borderId="15" xfId="0" quotePrefix="1" applyFont="1" applyBorder="1" applyAlignment="1">
      <alignment horizontal="center" vertical="center"/>
    </xf>
    <xf numFmtId="0" fontId="4" fillId="0" borderId="15" xfId="1" applyBorder="1" applyAlignment="1">
      <alignment horizontal="center" vertical="center"/>
    </xf>
    <xf numFmtId="165" fontId="6" fillId="0" borderId="15" xfId="0" applyNumberFormat="1" applyFont="1" applyBorder="1" applyAlignment="1">
      <alignment horizontal="center" vertical="center"/>
    </xf>
    <xf numFmtId="0" fontId="14" fillId="0" borderId="11" xfId="0" quotePrefix="1" applyFont="1" applyBorder="1" applyAlignment="1">
      <alignment horizontal="center" vertical="center"/>
    </xf>
    <xf numFmtId="0" fontId="4" fillId="0" borderId="11" xfId="1" applyBorder="1" applyAlignment="1">
      <alignment horizontal="center" vertical="center"/>
    </xf>
    <xf numFmtId="0" fontId="7" fillId="0" borderId="8" xfId="0" quotePrefix="1" applyFont="1" applyBorder="1" applyAlignment="1">
      <alignment horizontal="center" vertical="center" wrapText="1"/>
    </xf>
    <xf numFmtId="0" fontId="13" fillId="0" borderId="11" xfId="0" quotePrefix="1" applyFont="1" applyBorder="1" applyAlignment="1">
      <alignment horizontal="center" vertical="center" wrapText="1"/>
    </xf>
    <xf numFmtId="0" fontId="4" fillId="0" borderId="11" xfId="1" applyBorder="1" applyAlignment="1">
      <alignment horizontal="center" vertical="center" wrapText="1"/>
    </xf>
    <xf numFmtId="164" fontId="6" fillId="0" borderId="11" xfId="0" applyNumberFormat="1" applyFont="1" applyBorder="1" applyAlignment="1">
      <alignment horizontal="center" vertical="center"/>
    </xf>
    <xf numFmtId="0" fontId="6" fillId="0" borderId="11" xfId="0" quotePrefix="1" applyFont="1" applyBorder="1" applyAlignment="1">
      <alignment horizontal="center" vertical="center" wrapText="1"/>
    </xf>
    <xf numFmtId="0" fontId="11" fillId="0" borderId="16" xfId="0" quotePrefix="1" applyFont="1" applyBorder="1" applyAlignment="1">
      <alignment horizontal="center" vertical="center"/>
    </xf>
    <xf numFmtId="0" fontId="4" fillId="0" borderId="16" xfId="1" applyBorder="1" applyAlignment="1">
      <alignment horizontal="center" vertical="center"/>
    </xf>
    <xf numFmtId="165" fontId="9" fillId="0" borderId="16" xfId="0" applyNumberFormat="1" applyFont="1" applyBorder="1" applyAlignment="1">
      <alignment horizontal="center" vertical="center"/>
    </xf>
    <xf numFmtId="0" fontId="4" fillId="0" borderId="13" xfId="1" applyBorder="1" applyAlignment="1">
      <alignment horizontal="center" vertical="center"/>
    </xf>
    <xf numFmtId="0" fontId="6" fillId="0" borderId="18" xfId="0" quotePrefix="1" applyFont="1" applyBorder="1" applyAlignment="1">
      <alignment vertical="center"/>
    </xf>
    <xf numFmtId="0" fontId="6" fillId="0" borderId="19" xfId="0" quotePrefix="1" applyFont="1" applyBorder="1" applyAlignment="1">
      <alignment vertical="center"/>
    </xf>
    <xf numFmtId="0" fontId="6" fillId="0" borderId="20" xfId="0" quotePrefix="1" applyFont="1" applyBorder="1" applyAlignment="1">
      <alignment vertical="center"/>
    </xf>
    <xf numFmtId="0" fontId="6" fillId="0" borderId="17" xfId="0" quotePrefix="1" applyFont="1" applyBorder="1" applyAlignment="1">
      <alignment vertical="center"/>
    </xf>
    <xf numFmtId="0" fontId="6" fillId="0" borderId="21" xfId="0" quotePrefix="1" applyFont="1" applyBorder="1" applyAlignment="1">
      <alignment vertical="center"/>
    </xf>
    <xf numFmtId="0" fontId="6" fillId="0" borderId="22" xfId="0" quotePrefix="1" applyFont="1" applyBorder="1" applyAlignment="1">
      <alignment vertical="center"/>
    </xf>
    <xf numFmtId="0" fontId="3" fillId="0" borderId="26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4" fillId="4" borderId="20" xfId="0" quotePrefix="1" applyFont="1" applyFill="1" applyBorder="1" applyAlignment="1">
      <alignment vertical="center"/>
    </xf>
    <xf numFmtId="0" fontId="14" fillId="0" borderId="11" xfId="0" applyFont="1" applyFill="1" applyBorder="1" applyAlignment="1">
      <alignment horizontal="center" vertical="center"/>
    </xf>
    <xf numFmtId="0" fontId="11" fillId="0" borderId="1" xfId="0" quotePrefix="1" applyFont="1" applyBorder="1" applyAlignment="1">
      <alignment horizontal="center" vertical="center" wrapText="1"/>
    </xf>
    <xf numFmtId="0" fontId="11" fillId="5" borderId="1" xfId="0" quotePrefix="1" applyFont="1" applyFill="1" applyBorder="1" applyAlignment="1">
      <alignment horizontal="center" vertical="center"/>
    </xf>
    <xf numFmtId="0" fontId="6" fillId="3" borderId="18" xfId="0" quotePrefix="1" applyFont="1" applyFill="1" applyBorder="1" applyAlignment="1">
      <alignment vertical="center"/>
    </xf>
    <xf numFmtId="0" fontId="11" fillId="3" borderId="8" xfId="0" quotePrefix="1" applyFont="1" applyFill="1" applyBorder="1" applyAlignment="1">
      <alignment horizontal="center" vertical="center"/>
    </xf>
    <xf numFmtId="0" fontId="6" fillId="3" borderId="8" xfId="0" quotePrefix="1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4" fillId="3" borderId="8" xfId="1" applyFill="1" applyBorder="1" applyAlignment="1">
      <alignment horizontal="center" vertical="center"/>
    </xf>
    <xf numFmtId="165" fontId="10" fillId="3" borderId="8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5" borderId="19" xfId="0" quotePrefix="1" applyFont="1" applyFill="1" applyBorder="1" applyAlignment="1">
      <alignment vertical="center"/>
    </xf>
    <xf numFmtId="0" fontId="6" fillId="5" borderId="1" xfId="0" quotePrefix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8" fillId="5" borderId="1" xfId="1" applyFont="1" applyFill="1" applyBorder="1" applyAlignment="1">
      <alignment horizontal="center" vertical="center"/>
    </xf>
    <xf numFmtId="165" fontId="6" fillId="5" borderId="1" xfId="0" applyNumberFormat="1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165" fontId="12" fillId="5" borderId="1" xfId="0" applyNumberFormat="1" applyFont="1" applyFill="1" applyBorder="1" applyAlignment="1">
      <alignment horizontal="center" vertical="center"/>
    </xf>
    <xf numFmtId="0" fontId="11" fillId="3" borderId="1" xfId="0" quotePrefix="1" applyFont="1" applyFill="1" applyBorder="1" applyAlignment="1">
      <alignment horizontal="center" vertical="center"/>
    </xf>
    <xf numFmtId="0" fontId="11" fillId="3" borderId="1" xfId="0" quotePrefix="1" applyFont="1" applyFill="1" applyBorder="1" applyAlignment="1">
      <alignment horizontal="center" vertical="center" wrapText="1"/>
    </xf>
    <xf numFmtId="0" fontId="15" fillId="4" borderId="11" xfId="0" quotePrefix="1" applyFont="1" applyFill="1" applyBorder="1" applyAlignment="1">
      <alignment horizontal="center"/>
    </xf>
    <xf numFmtId="165" fontId="14" fillId="4" borderId="11" xfId="0" quotePrefix="1" applyNumberFormat="1" applyFont="1" applyFill="1" applyBorder="1" applyAlignment="1">
      <alignment horizontal="center" vertical="center"/>
    </xf>
    <xf numFmtId="165" fontId="14" fillId="4" borderId="12" xfId="0" quotePrefix="1" applyNumberFormat="1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wrapText="1"/>
    </xf>
    <xf numFmtId="0" fontId="5" fillId="3" borderId="0" xfId="0" applyFont="1" applyFill="1" applyBorder="1" applyAlignment="1">
      <alignment horizontal="center" wrapText="1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csc.com/product-detail/Chip-Resistor-Surface-Mount_UNI-ROYAL-Uniroyal-Elec-0201WMF8060TEE_C474262.html" TargetMode="External"/><Relationship Id="rId13" Type="http://schemas.openxmlformats.org/officeDocument/2006/relationships/hyperlink" Target="https://www.chipmall.com/product_detail/ON-Semiconductor/EEPROM/CAT24C32HU4I-GT3_11641.html?utm_source=digipart&amp;utm_medium=buyNow" TargetMode="External"/><Relationship Id="rId18" Type="http://schemas.openxmlformats.org/officeDocument/2006/relationships/hyperlink" Target="https://www.alibaba.com/product-detail/New-Original-AZ6225-01F-R7GR-DFN1006P2E_1600351210301.html?spm=a2700.galleryofferlist.normal_offer.d_title.474348c20EBIMp" TargetMode="External"/><Relationship Id="rId26" Type="http://schemas.openxmlformats.org/officeDocument/2006/relationships/hyperlink" Target="https://www.heisener.com/ProductDetail/F981C105MMA" TargetMode="External"/><Relationship Id="rId3" Type="http://schemas.openxmlformats.org/officeDocument/2006/relationships/hyperlink" Target="https://lcsc.com/product-detail/Others_Murata-Electronics_GRM0335C1E100JA01D_Murata-Electronics-GRM0335C1E100JA01D_C161370.html" TargetMode="External"/><Relationship Id="rId21" Type="http://schemas.openxmlformats.org/officeDocument/2006/relationships/hyperlink" Target="https://lcsc.com/product-detail/Bipolar-Transistors-BJT_Diodes-Incorporated-MMBT2222A-7-F_C94515.html" TargetMode="External"/><Relationship Id="rId7" Type="http://schemas.openxmlformats.org/officeDocument/2006/relationships/hyperlink" Target="https://lcsc.com/product-detail/Chip-Resistor-Surface-Mount_YAGEO-RC0603FR-0710KL_C98220.html" TargetMode="External"/><Relationship Id="rId12" Type="http://schemas.openxmlformats.org/officeDocument/2006/relationships/hyperlink" Target="https://lcsc.com/product-detail/Logic-Buffers-Drivers-Receivers-Transceivers_Texas-Instruments-SN74LV1T34DBVR_C100024.html" TargetMode="External"/><Relationship Id="rId17" Type="http://schemas.openxmlformats.org/officeDocument/2006/relationships/hyperlink" Target="https://lcsc.com/product-detail/Multilayer-Ceramic-Capacitors-MLCC-SMD-SMT_TDK-C1608X5R1V225KT000E_C342978.html" TargetMode="External"/><Relationship Id="rId25" Type="http://schemas.openxmlformats.org/officeDocument/2006/relationships/hyperlink" Target="https://lcsc.com/product-detail/Pin-Headers_XFCN-MH254RS-11-02-1000_C668122.html" TargetMode="External"/><Relationship Id="rId2" Type="http://schemas.openxmlformats.org/officeDocument/2006/relationships/hyperlink" Target="https://lcsc.com/product-detail/Multilayer-Ceramic-Capacitors-MLCC-SMD-SMT_Samsung-Electro-Mechanics-CL10B104KB8NNNC_C1591.html" TargetMode="External"/><Relationship Id="rId16" Type="http://schemas.openxmlformats.org/officeDocument/2006/relationships/hyperlink" Target="https://www.heisener.com/ProductDetail/AEAT-8800-Q24" TargetMode="External"/><Relationship Id="rId20" Type="http://schemas.openxmlformats.org/officeDocument/2006/relationships/hyperlink" Target="https://lcsc.com/product-detail/Ferrite-Beads_Taiyo-Yuden-FBMH1608HL121-TV_C515365.html" TargetMode="External"/><Relationship Id="rId1" Type="http://schemas.openxmlformats.org/officeDocument/2006/relationships/hyperlink" Target="https://lcsc.com/product-detail/Multilayer-Ceramic-Capacitors-MLCC-SMD-SMT_Samsung-Electro-Mechanics-CL10A475KA8NQNC_C69335.html" TargetMode="External"/><Relationship Id="rId6" Type="http://schemas.openxmlformats.org/officeDocument/2006/relationships/hyperlink" Target="https://lcsc.com/product-detail/Chip-Resistor-Surface-Mount_YAGEO-RC0603FR-07100RL_C105588.html" TargetMode="External"/><Relationship Id="rId11" Type="http://schemas.openxmlformats.org/officeDocument/2006/relationships/hyperlink" Target="https://lcsc.com/product-detail/Chip-Resistor-Surface-Mount_YAGEO-RC0603FR-0757R6L_C245984.html" TargetMode="External"/><Relationship Id="rId24" Type="http://schemas.openxmlformats.org/officeDocument/2006/relationships/hyperlink" Target="https://www.alibaba.com/product-detail/IN-Stock-IC-MCU-32BIT-1MB_1600353391958.html?spm=a2700.galleryofferlist.normal_offer.d_title.19c4687aFf9shs" TargetMode="External"/><Relationship Id="rId5" Type="http://schemas.openxmlformats.org/officeDocument/2006/relationships/hyperlink" Target="https://lcsc.com/product-detail/Light-Emitting-Diodes-LED_Everlight-Elec-16-213-GHC-YR1S1-3T_C74338.html" TargetMode="External"/><Relationship Id="rId15" Type="http://schemas.openxmlformats.org/officeDocument/2006/relationships/hyperlink" Target="https://www.aliexpress.com/item/1005001826100925.html?spm=a2g0o.productlist.0.0.7f162c44tuMoSg&amp;algo_pvid=da72e104-1f1c-4df5-8e3b-d0f9c8539cee&amp;algo_exp_id=da72e104-1f1c-4df5-8e3b-d0f9c8539cee-0" TargetMode="External"/><Relationship Id="rId23" Type="http://schemas.openxmlformats.org/officeDocument/2006/relationships/hyperlink" Target="https://www.heisener.com/ProductDetail/ECS-327-7-34B-C-TR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https://lcsc.com/product-detail/Chip-Resistor-Surface-Mount_YAGEO-RC0603FR-07470RL_C114669.html" TargetMode="External"/><Relationship Id="rId19" Type="http://schemas.openxmlformats.org/officeDocument/2006/relationships/hyperlink" Target="https://lcsc.com/product-detail/span-style-background-color-ff0-ESD-span-Protection-Devices_onsemi-ESD9L5-0ST5G_C82326.html" TargetMode="External"/><Relationship Id="rId4" Type="http://schemas.openxmlformats.org/officeDocument/2006/relationships/hyperlink" Target="https://lcsc.com/product-detail/Multilayer-Ceramic-Capacitors-MLCC-SMD-SMT_Samsung-Electro-Mechanics-CL10A106MA8NRNC_C96446.html" TargetMode="External"/><Relationship Id="rId9" Type="http://schemas.openxmlformats.org/officeDocument/2006/relationships/hyperlink" Target="https://lcsc.com/product-detail/Chip-Resistor-Surface-Mount_YAGEO-RC0603JR-071KL_C14676.html" TargetMode="External"/><Relationship Id="rId14" Type="http://schemas.openxmlformats.org/officeDocument/2006/relationships/hyperlink" Target="https://www.heisener.com/ProductDetail/MCP9805-BE-ST" TargetMode="External"/><Relationship Id="rId22" Type="http://schemas.openxmlformats.org/officeDocument/2006/relationships/hyperlink" Target="https://www.utsource.net/itm/p/9456640.html?digipart=1" TargetMode="External"/><Relationship Id="rId27" Type="http://schemas.openxmlformats.org/officeDocument/2006/relationships/hyperlink" Target="https://www.heisener.com/ProductDetail/HCM4920000000ABJ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45"/>
  <sheetViews>
    <sheetView tabSelected="1" topLeftCell="G1" zoomScale="84" zoomScaleNormal="84" workbookViewId="0">
      <selection activeCell="K25" sqref="K25"/>
    </sheetView>
  </sheetViews>
  <sheetFormatPr defaultRowHeight="15" x14ac:dyDescent="0.25"/>
  <cols>
    <col min="1" max="1" width="6.140625" bestFit="1" customWidth="1"/>
    <col min="2" max="2" width="16.5703125" customWidth="1"/>
    <col min="3" max="3" width="53.85546875" bestFit="1" customWidth="1"/>
    <col min="4" max="4" width="40.85546875" bestFit="1" customWidth="1"/>
    <col min="5" max="5" width="20.5703125" bestFit="1" customWidth="1"/>
    <col min="6" max="6" width="28.42578125" bestFit="1" customWidth="1"/>
    <col min="7" max="7" width="18.5703125" bestFit="1" customWidth="1"/>
    <col min="8" max="8" width="20.5703125" bestFit="1" customWidth="1"/>
    <col min="9" max="9" width="14.28515625" bestFit="1" customWidth="1"/>
    <col min="10" max="10" width="6.5703125" bestFit="1" customWidth="1"/>
    <col min="11" max="11" width="11.140625" bestFit="1" customWidth="1"/>
    <col min="12" max="12" width="21.85546875" bestFit="1" customWidth="1"/>
    <col min="13" max="13" width="13.42578125" bestFit="1" customWidth="1"/>
    <col min="14" max="14" width="17.28515625" customWidth="1"/>
    <col min="15" max="15" width="14.5703125" bestFit="1" customWidth="1"/>
    <col min="16" max="16" width="15.85546875" bestFit="1" customWidth="1"/>
    <col min="17" max="17" width="21.85546875" bestFit="1" customWidth="1"/>
    <col min="18" max="18" width="15.140625" bestFit="1" customWidth="1"/>
    <col min="19" max="19" width="27.28515625" bestFit="1" customWidth="1"/>
  </cols>
  <sheetData>
    <row r="1" spans="1:19" ht="16.5" thickBot="1" x14ac:dyDescent="0.3">
      <c r="A1" s="107" t="s">
        <v>143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9"/>
    </row>
    <row r="2" spans="1:19" ht="16.5" thickBot="1" x14ac:dyDescent="0.3">
      <c r="A2" s="28" t="s">
        <v>134</v>
      </c>
      <c r="B2" s="47" t="s">
        <v>135</v>
      </c>
      <c r="C2" s="47" t="s">
        <v>0</v>
      </c>
      <c r="D2" s="47" t="s">
        <v>1</v>
      </c>
      <c r="E2" s="47" t="s">
        <v>136</v>
      </c>
      <c r="F2" s="47" t="s">
        <v>3</v>
      </c>
      <c r="G2" s="47" t="s">
        <v>2</v>
      </c>
      <c r="H2" s="47" t="s">
        <v>137</v>
      </c>
      <c r="I2" s="47" t="s">
        <v>180</v>
      </c>
      <c r="J2" s="47" t="s">
        <v>138</v>
      </c>
      <c r="K2" s="47" t="s">
        <v>156</v>
      </c>
      <c r="L2" s="47" t="s">
        <v>139</v>
      </c>
      <c r="M2" s="47" t="s">
        <v>184</v>
      </c>
      <c r="N2" s="47" t="s">
        <v>212</v>
      </c>
      <c r="O2" s="47" t="s">
        <v>140</v>
      </c>
      <c r="P2" s="47" t="s">
        <v>141</v>
      </c>
      <c r="Q2" s="47" t="s">
        <v>209</v>
      </c>
      <c r="R2" s="47" t="s">
        <v>210</v>
      </c>
      <c r="S2" s="47" t="s">
        <v>142</v>
      </c>
    </row>
    <row r="3" spans="1:19" ht="15.75" thickBot="1" x14ac:dyDescent="0.3">
      <c r="A3" s="1">
        <v>1</v>
      </c>
      <c r="B3" s="100" t="s">
        <v>144</v>
      </c>
      <c r="C3" s="65" t="s">
        <v>5</v>
      </c>
      <c r="D3" s="38" t="s">
        <v>6</v>
      </c>
      <c r="E3" s="6" t="s">
        <v>7</v>
      </c>
      <c r="F3" s="6" t="s">
        <v>8</v>
      </c>
      <c r="G3" s="6" t="s">
        <v>9</v>
      </c>
      <c r="H3" s="30" t="s">
        <v>178</v>
      </c>
      <c r="I3" s="21" t="s">
        <v>157</v>
      </c>
      <c r="J3" s="6" t="s">
        <v>4</v>
      </c>
      <c r="K3" s="6">
        <v>40</v>
      </c>
      <c r="L3" s="7">
        <v>1</v>
      </c>
      <c r="M3" s="7">
        <f>L3*25</f>
        <v>25</v>
      </c>
      <c r="N3" s="26" t="s">
        <v>152</v>
      </c>
      <c r="O3" s="8">
        <v>2.3E-2</v>
      </c>
      <c r="P3" s="8">
        <f t="shared" ref="P3:P15" si="0">O3*K3</f>
        <v>0.91999999999999993</v>
      </c>
      <c r="Q3" s="8">
        <v>2.3E-2</v>
      </c>
      <c r="R3" s="8">
        <f>Q3*K3</f>
        <v>0.91999999999999993</v>
      </c>
      <c r="S3" s="22"/>
    </row>
    <row r="4" spans="1:19" s="35" customFormat="1" ht="26.25" thickBot="1" x14ac:dyDescent="0.3">
      <c r="A4" s="1">
        <v>2</v>
      </c>
      <c r="B4" s="101"/>
      <c r="C4" s="66" t="s">
        <v>179</v>
      </c>
      <c r="D4" s="77" t="s">
        <v>186</v>
      </c>
      <c r="E4" s="29" t="s">
        <v>7</v>
      </c>
      <c r="F4" s="29" t="s">
        <v>11</v>
      </c>
      <c r="G4" s="29" t="s">
        <v>9</v>
      </c>
      <c r="H4" s="36" t="s">
        <v>178</v>
      </c>
      <c r="I4" s="31" t="s">
        <v>158</v>
      </c>
      <c r="J4" s="29" t="s">
        <v>10</v>
      </c>
      <c r="K4" s="29">
        <v>500</v>
      </c>
      <c r="L4" s="32">
        <v>20</v>
      </c>
      <c r="M4" s="10">
        <f t="shared" ref="M4:M33" si="1">L4*25</f>
        <v>500</v>
      </c>
      <c r="N4" s="27" t="s">
        <v>152</v>
      </c>
      <c r="O4" s="33">
        <v>2.5000000000000001E-3</v>
      </c>
      <c r="P4" s="33">
        <f t="shared" si="0"/>
        <v>1.25</v>
      </c>
      <c r="Q4" s="33">
        <v>2.5000000000000001E-3</v>
      </c>
      <c r="R4" s="33">
        <f>Q4*K4</f>
        <v>1.25</v>
      </c>
      <c r="S4" s="34"/>
    </row>
    <row r="5" spans="1:19" ht="15.75" thickBot="1" x14ac:dyDescent="0.3">
      <c r="A5" s="1">
        <v>3</v>
      </c>
      <c r="B5" s="101"/>
      <c r="C5" s="66" t="s">
        <v>13</v>
      </c>
      <c r="D5" s="94" t="s">
        <v>14</v>
      </c>
      <c r="E5" s="94" t="s">
        <v>7</v>
      </c>
      <c r="F5" s="94" t="s">
        <v>15</v>
      </c>
      <c r="G5" s="94" t="s">
        <v>16</v>
      </c>
      <c r="H5" s="95" t="s">
        <v>178</v>
      </c>
      <c r="I5" s="94" t="s">
        <v>181</v>
      </c>
      <c r="J5" s="94" t="s">
        <v>12</v>
      </c>
      <c r="K5" s="94">
        <v>25</v>
      </c>
      <c r="L5" s="10">
        <v>1</v>
      </c>
      <c r="M5" s="10">
        <f t="shared" si="1"/>
        <v>25</v>
      </c>
      <c r="N5" s="50" t="s">
        <v>173</v>
      </c>
      <c r="O5" s="11">
        <v>0.17369999999999999</v>
      </c>
      <c r="P5" s="11">
        <f t="shared" si="0"/>
        <v>4.3425000000000002</v>
      </c>
      <c r="Q5" s="33">
        <v>0.17369999999999999</v>
      </c>
      <c r="R5" s="33">
        <f t="shared" ref="R5:R6" si="2">Q5*K5</f>
        <v>4.3425000000000002</v>
      </c>
      <c r="S5" s="23"/>
    </row>
    <row r="6" spans="1:19" ht="15.75" thickBot="1" x14ac:dyDescent="0.3">
      <c r="A6" s="1">
        <v>4</v>
      </c>
      <c r="B6" s="101"/>
      <c r="C6" s="66" t="s">
        <v>18</v>
      </c>
      <c r="D6" s="39" t="s">
        <v>19</v>
      </c>
      <c r="E6" s="9" t="s">
        <v>20</v>
      </c>
      <c r="F6" s="37" t="s">
        <v>21</v>
      </c>
      <c r="G6" s="9" t="s">
        <v>22</v>
      </c>
      <c r="H6" s="10" t="s">
        <v>182</v>
      </c>
      <c r="I6" s="10" t="s">
        <v>183</v>
      </c>
      <c r="J6" s="9" t="s">
        <v>17</v>
      </c>
      <c r="K6" s="9">
        <v>50</v>
      </c>
      <c r="L6" s="10">
        <v>2</v>
      </c>
      <c r="M6" s="10">
        <f t="shared" si="1"/>
        <v>50</v>
      </c>
      <c r="N6" s="50" t="s">
        <v>152</v>
      </c>
      <c r="O6" s="11">
        <v>4.3200000000000002E-2</v>
      </c>
      <c r="P6" s="11">
        <f t="shared" si="0"/>
        <v>2.16</v>
      </c>
      <c r="Q6" s="11">
        <v>4.3200000000000002E-2</v>
      </c>
      <c r="R6" s="33">
        <f t="shared" si="2"/>
        <v>2.16</v>
      </c>
      <c r="S6" s="23"/>
    </row>
    <row r="7" spans="1:19" ht="15.75" thickBot="1" x14ac:dyDescent="0.3">
      <c r="A7" s="1">
        <v>5</v>
      </c>
      <c r="B7" s="101"/>
      <c r="C7" s="66" t="s">
        <v>24</v>
      </c>
      <c r="D7" s="39" t="s">
        <v>25</v>
      </c>
      <c r="E7" s="9" t="s">
        <v>26</v>
      </c>
      <c r="F7" s="37" t="s">
        <v>27</v>
      </c>
      <c r="G7" s="9" t="s">
        <v>28</v>
      </c>
      <c r="H7" s="10" t="s">
        <v>160</v>
      </c>
      <c r="I7" s="10" t="s">
        <v>159</v>
      </c>
      <c r="J7" s="9" t="s">
        <v>23</v>
      </c>
      <c r="K7" s="9">
        <v>100</v>
      </c>
      <c r="L7" s="10">
        <v>4</v>
      </c>
      <c r="M7" s="10">
        <f t="shared" si="1"/>
        <v>100</v>
      </c>
      <c r="N7" s="50" t="s">
        <v>152</v>
      </c>
      <c r="O7" s="11">
        <v>2.0999999999999999E-3</v>
      </c>
      <c r="P7" s="11">
        <f t="shared" si="0"/>
        <v>0.21</v>
      </c>
      <c r="Q7" s="11">
        <v>2.0999999999999999E-3</v>
      </c>
      <c r="R7" s="11">
        <f t="shared" ref="R7:R14" si="3">Q7*K7</f>
        <v>0.21</v>
      </c>
      <c r="S7" s="23"/>
    </row>
    <row r="8" spans="1:19" ht="15.75" thickBot="1" x14ac:dyDescent="0.3">
      <c r="A8" s="1">
        <v>6</v>
      </c>
      <c r="B8" s="102"/>
      <c r="C8" s="67" t="s">
        <v>30</v>
      </c>
      <c r="D8" s="41" t="s">
        <v>31</v>
      </c>
      <c r="E8" s="12" t="s">
        <v>7</v>
      </c>
      <c r="F8" s="54" t="s">
        <v>32</v>
      </c>
      <c r="G8" s="12" t="s">
        <v>9</v>
      </c>
      <c r="H8" s="13" t="s">
        <v>32</v>
      </c>
      <c r="I8" s="13" t="s">
        <v>185</v>
      </c>
      <c r="J8" s="12" t="s">
        <v>29</v>
      </c>
      <c r="K8" s="12">
        <v>40</v>
      </c>
      <c r="L8" s="13">
        <v>1</v>
      </c>
      <c r="M8" s="13">
        <f t="shared" si="1"/>
        <v>25</v>
      </c>
      <c r="N8" s="55" t="s">
        <v>152</v>
      </c>
      <c r="O8" s="14">
        <v>2.6499999999999999E-2</v>
      </c>
      <c r="P8" s="14">
        <f t="shared" si="0"/>
        <v>1.06</v>
      </c>
      <c r="Q8" s="14">
        <v>2.6499999999999999E-2</v>
      </c>
      <c r="R8" s="14">
        <f t="shared" si="3"/>
        <v>1.06</v>
      </c>
      <c r="S8" s="24"/>
    </row>
    <row r="9" spans="1:19" ht="15.75" thickBot="1" x14ac:dyDescent="0.3">
      <c r="A9" s="1">
        <v>7</v>
      </c>
      <c r="B9" s="100" t="s">
        <v>145</v>
      </c>
      <c r="C9" s="65" t="s">
        <v>34</v>
      </c>
      <c r="D9" s="38" t="s">
        <v>35</v>
      </c>
      <c r="E9" s="6" t="s">
        <v>37</v>
      </c>
      <c r="F9" s="38" t="s">
        <v>33</v>
      </c>
      <c r="G9" s="6" t="s">
        <v>36</v>
      </c>
      <c r="H9" s="56" t="s">
        <v>178</v>
      </c>
      <c r="I9" s="6" t="s">
        <v>187</v>
      </c>
      <c r="J9" s="6" t="s">
        <v>188</v>
      </c>
      <c r="K9" s="6">
        <v>100</v>
      </c>
      <c r="L9" s="7">
        <v>2</v>
      </c>
      <c r="M9" s="7">
        <f t="shared" si="1"/>
        <v>50</v>
      </c>
      <c r="N9" s="26" t="s">
        <v>189</v>
      </c>
      <c r="O9" s="15">
        <v>0.11</v>
      </c>
      <c r="P9" s="8">
        <f t="shared" si="0"/>
        <v>11</v>
      </c>
      <c r="Q9" s="15">
        <v>0.11</v>
      </c>
      <c r="R9" s="8">
        <f t="shared" si="3"/>
        <v>11</v>
      </c>
      <c r="S9" s="22" t="s">
        <v>190</v>
      </c>
    </row>
    <row r="10" spans="1:19" ht="15.75" thickBot="1" x14ac:dyDescent="0.3">
      <c r="A10" s="1">
        <v>8</v>
      </c>
      <c r="B10" s="101"/>
      <c r="C10" s="66" t="s">
        <v>39</v>
      </c>
      <c r="D10" s="39" t="s">
        <v>40</v>
      </c>
      <c r="E10" s="9" t="s">
        <v>41</v>
      </c>
      <c r="F10" s="39" t="s">
        <v>38</v>
      </c>
      <c r="G10" s="9" t="s">
        <v>42</v>
      </c>
      <c r="H10" s="36" t="s">
        <v>178</v>
      </c>
      <c r="I10" s="10" t="s">
        <v>191</v>
      </c>
      <c r="J10" s="9" t="s">
        <v>188</v>
      </c>
      <c r="K10" s="9">
        <v>25</v>
      </c>
      <c r="L10" s="10">
        <v>1</v>
      </c>
      <c r="M10" s="10">
        <f t="shared" si="1"/>
        <v>25</v>
      </c>
      <c r="N10" s="50" t="s">
        <v>152</v>
      </c>
      <c r="O10" s="11">
        <v>7.6300000000000007E-2</v>
      </c>
      <c r="P10" s="11">
        <f t="shared" si="0"/>
        <v>1.9075000000000002</v>
      </c>
      <c r="Q10" s="11">
        <v>7.6300000000000007E-2</v>
      </c>
      <c r="R10" s="11">
        <f t="shared" si="3"/>
        <v>1.9075000000000002</v>
      </c>
      <c r="S10" s="23"/>
    </row>
    <row r="11" spans="1:19" ht="15.75" thickBot="1" x14ac:dyDescent="0.3">
      <c r="A11" s="1">
        <v>9</v>
      </c>
      <c r="B11" s="102"/>
      <c r="C11" s="67" t="s">
        <v>52</v>
      </c>
      <c r="D11" s="41" t="s">
        <v>53</v>
      </c>
      <c r="E11" s="12" t="s">
        <v>54</v>
      </c>
      <c r="F11" s="54" t="s">
        <v>51</v>
      </c>
      <c r="G11" s="12" t="s">
        <v>55</v>
      </c>
      <c r="H11" s="57" t="s">
        <v>161</v>
      </c>
      <c r="I11" s="57" t="s">
        <v>162</v>
      </c>
      <c r="J11" s="12" t="s">
        <v>188</v>
      </c>
      <c r="K11" s="12">
        <v>30</v>
      </c>
      <c r="L11" s="13">
        <v>1</v>
      </c>
      <c r="M11" s="13">
        <f t="shared" si="1"/>
        <v>25</v>
      </c>
      <c r="N11" s="58" t="s">
        <v>152</v>
      </c>
      <c r="O11" s="59">
        <v>6.7000000000000004E-2</v>
      </c>
      <c r="P11" s="14">
        <f t="shared" si="0"/>
        <v>2.0100000000000002</v>
      </c>
      <c r="Q11" s="59">
        <v>6.7000000000000004E-2</v>
      </c>
      <c r="R11" s="14">
        <f t="shared" si="3"/>
        <v>2.0100000000000002</v>
      </c>
      <c r="S11" s="24"/>
    </row>
    <row r="12" spans="1:19" ht="15.75" thickBot="1" x14ac:dyDescent="0.3">
      <c r="A12" s="1">
        <v>10</v>
      </c>
      <c r="B12" s="71" t="s">
        <v>208</v>
      </c>
      <c r="C12" s="68" t="s">
        <v>192</v>
      </c>
      <c r="D12" s="61" t="s">
        <v>48</v>
      </c>
      <c r="E12" s="43" t="s">
        <v>49</v>
      </c>
      <c r="F12" s="61" t="s">
        <v>47</v>
      </c>
      <c r="G12" s="43" t="s">
        <v>50</v>
      </c>
      <c r="H12" s="43" t="s">
        <v>178</v>
      </c>
      <c r="I12" s="45" t="s">
        <v>163</v>
      </c>
      <c r="J12" s="43" t="s">
        <v>193</v>
      </c>
      <c r="K12" s="43">
        <v>25</v>
      </c>
      <c r="L12" s="45">
        <v>1</v>
      </c>
      <c r="M12" s="45">
        <f t="shared" si="1"/>
        <v>25</v>
      </c>
      <c r="N12" s="62" t="s">
        <v>152</v>
      </c>
      <c r="O12" s="63">
        <v>9.2100000000000001E-2</v>
      </c>
      <c r="P12" s="46">
        <f t="shared" si="0"/>
        <v>2.3025000000000002</v>
      </c>
      <c r="Q12" s="63">
        <v>9.2100000000000001E-2</v>
      </c>
      <c r="R12" s="46">
        <f t="shared" si="3"/>
        <v>2.3025000000000002</v>
      </c>
      <c r="S12" s="72"/>
    </row>
    <row r="13" spans="1:19" ht="15.75" thickBot="1" x14ac:dyDescent="0.3">
      <c r="A13" s="1">
        <v>11</v>
      </c>
      <c r="B13" s="5" t="s">
        <v>146</v>
      </c>
      <c r="C13" s="69" t="s">
        <v>61</v>
      </c>
      <c r="D13" s="40" t="s">
        <v>62</v>
      </c>
      <c r="E13" s="16" t="s">
        <v>63</v>
      </c>
      <c r="F13" s="16" t="s">
        <v>60</v>
      </c>
      <c r="G13" s="16" t="s">
        <v>64</v>
      </c>
      <c r="H13" s="16" t="s">
        <v>187</v>
      </c>
      <c r="I13" s="17" t="s">
        <v>164</v>
      </c>
      <c r="J13" s="16"/>
      <c r="K13" s="16">
        <v>60</v>
      </c>
      <c r="L13" s="17">
        <v>2</v>
      </c>
      <c r="M13" s="17">
        <f t="shared" si="1"/>
        <v>50</v>
      </c>
      <c r="N13" s="64" t="s">
        <v>152</v>
      </c>
      <c r="O13" s="18">
        <v>3.5099999999999999E-2</v>
      </c>
      <c r="P13" s="18">
        <f t="shared" si="0"/>
        <v>2.1059999999999999</v>
      </c>
      <c r="Q13" s="18">
        <v>3.5099999999999999E-2</v>
      </c>
      <c r="R13" s="18">
        <f t="shared" si="3"/>
        <v>2.1059999999999999</v>
      </c>
      <c r="S13" s="25"/>
    </row>
    <row r="14" spans="1:19" ht="15.75" thickBot="1" x14ac:dyDescent="0.3">
      <c r="A14" s="1">
        <v>12</v>
      </c>
      <c r="B14" s="100" t="s">
        <v>147</v>
      </c>
      <c r="C14" s="65" t="s">
        <v>66</v>
      </c>
      <c r="D14" s="38" t="s">
        <v>67</v>
      </c>
      <c r="E14" s="6" t="s">
        <v>68</v>
      </c>
      <c r="F14" s="6" t="s">
        <v>69</v>
      </c>
      <c r="G14" s="6" t="s">
        <v>70</v>
      </c>
      <c r="H14" s="6" t="s">
        <v>181</v>
      </c>
      <c r="I14" s="7" t="s">
        <v>165</v>
      </c>
      <c r="J14" s="6" t="s">
        <v>65</v>
      </c>
      <c r="K14" s="6">
        <v>100</v>
      </c>
      <c r="L14" s="7">
        <v>1</v>
      </c>
      <c r="M14" s="7">
        <f t="shared" si="1"/>
        <v>25</v>
      </c>
      <c r="N14" s="26" t="s">
        <v>152</v>
      </c>
      <c r="O14" s="8">
        <v>1.5E-3</v>
      </c>
      <c r="P14" s="8">
        <f t="shared" si="0"/>
        <v>0.15</v>
      </c>
      <c r="Q14" s="8">
        <v>1.5E-3</v>
      </c>
      <c r="R14" s="8">
        <f t="shared" si="3"/>
        <v>0.15</v>
      </c>
      <c r="S14" s="22"/>
    </row>
    <row r="15" spans="1:19" ht="15.75" thickBot="1" x14ac:dyDescent="0.3">
      <c r="A15" s="1">
        <v>13</v>
      </c>
      <c r="B15" s="101"/>
      <c r="C15" s="66" t="s">
        <v>72</v>
      </c>
      <c r="D15" s="39" t="s">
        <v>194</v>
      </c>
      <c r="E15" s="9" t="s">
        <v>68</v>
      </c>
      <c r="F15" s="9" t="s">
        <v>73</v>
      </c>
      <c r="G15" s="9" t="s">
        <v>70</v>
      </c>
      <c r="H15" s="9" t="s">
        <v>196</v>
      </c>
      <c r="I15" s="10" t="s">
        <v>166</v>
      </c>
      <c r="J15" s="9" t="s">
        <v>71</v>
      </c>
      <c r="K15" s="9">
        <v>200</v>
      </c>
      <c r="L15" s="10">
        <v>7</v>
      </c>
      <c r="M15" s="10">
        <f t="shared" si="1"/>
        <v>175</v>
      </c>
      <c r="N15" s="50" t="s">
        <v>152</v>
      </c>
      <c r="O15" s="11">
        <v>1E-3</v>
      </c>
      <c r="P15" s="11">
        <f t="shared" si="0"/>
        <v>0.2</v>
      </c>
      <c r="Q15" s="11">
        <v>1E-3</v>
      </c>
      <c r="R15" s="11">
        <f t="shared" ref="R15:R32" si="4">Q15*K15</f>
        <v>0.2</v>
      </c>
      <c r="S15" s="23"/>
    </row>
    <row r="16" spans="1:19" ht="15.75" thickBot="1" x14ac:dyDescent="0.3">
      <c r="A16" s="1">
        <v>14</v>
      </c>
      <c r="B16" s="101"/>
      <c r="C16" s="66" t="s">
        <v>195</v>
      </c>
      <c r="D16" s="39" t="s">
        <v>75</v>
      </c>
      <c r="E16" s="9" t="s">
        <v>76</v>
      </c>
      <c r="F16" s="37" t="s">
        <v>77</v>
      </c>
      <c r="G16" s="9" t="s">
        <v>78</v>
      </c>
      <c r="H16" s="10" t="s">
        <v>167</v>
      </c>
      <c r="I16" s="10" t="s">
        <v>168</v>
      </c>
      <c r="J16" s="9" t="s">
        <v>74</v>
      </c>
      <c r="K16" s="9">
        <v>100</v>
      </c>
      <c r="L16" s="10">
        <v>1</v>
      </c>
      <c r="M16" s="10">
        <f t="shared" si="1"/>
        <v>25</v>
      </c>
      <c r="N16" s="50" t="s">
        <v>152</v>
      </c>
      <c r="O16" s="11">
        <v>1.6000000000000001E-3</v>
      </c>
      <c r="P16" s="11">
        <f t="shared" ref="P16:P19" si="5">O16*K16</f>
        <v>0.16</v>
      </c>
      <c r="Q16" s="11">
        <v>1.6000000000000001E-3</v>
      </c>
      <c r="R16" s="11">
        <f t="shared" si="4"/>
        <v>0.16</v>
      </c>
      <c r="S16" s="23"/>
    </row>
    <row r="17" spans="1:19" ht="15.75" thickBot="1" x14ac:dyDescent="0.3">
      <c r="A17" s="1">
        <v>15</v>
      </c>
      <c r="B17" s="101"/>
      <c r="C17" s="66" t="s">
        <v>80</v>
      </c>
      <c r="D17" s="39" t="s">
        <v>81</v>
      </c>
      <c r="E17" s="9" t="s">
        <v>68</v>
      </c>
      <c r="F17" s="9" t="s">
        <v>82</v>
      </c>
      <c r="G17" s="9" t="s">
        <v>70</v>
      </c>
      <c r="H17" s="9" t="s">
        <v>196</v>
      </c>
      <c r="I17" s="10" t="s">
        <v>169</v>
      </c>
      <c r="J17" s="9" t="s">
        <v>79</v>
      </c>
      <c r="K17" s="9">
        <v>100</v>
      </c>
      <c r="L17" s="10">
        <v>2</v>
      </c>
      <c r="M17" s="10">
        <f t="shared" si="1"/>
        <v>50</v>
      </c>
      <c r="N17" s="50" t="s">
        <v>152</v>
      </c>
      <c r="O17" s="11">
        <v>1.1999999999999999E-3</v>
      </c>
      <c r="P17" s="11">
        <f t="shared" si="5"/>
        <v>0.12</v>
      </c>
      <c r="Q17" s="11">
        <v>1.1999999999999999E-3</v>
      </c>
      <c r="R17" s="11">
        <f t="shared" si="4"/>
        <v>0.12</v>
      </c>
      <c r="S17" s="23"/>
    </row>
    <row r="18" spans="1:19" ht="15.75" thickBot="1" x14ac:dyDescent="0.3">
      <c r="A18" s="1">
        <v>16</v>
      </c>
      <c r="B18" s="101"/>
      <c r="C18" s="66" t="s">
        <v>84</v>
      </c>
      <c r="D18" s="39" t="s">
        <v>85</v>
      </c>
      <c r="E18" s="9" t="s">
        <v>68</v>
      </c>
      <c r="F18" s="9" t="s">
        <v>86</v>
      </c>
      <c r="G18" s="9" t="s">
        <v>70</v>
      </c>
      <c r="H18" s="9" t="s">
        <v>196</v>
      </c>
      <c r="I18" s="10" t="s">
        <v>170</v>
      </c>
      <c r="J18" s="9" t="s">
        <v>83</v>
      </c>
      <c r="K18" s="9">
        <v>100</v>
      </c>
      <c r="L18" s="10">
        <v>1</v>
      </c>
      <c r="M18" s="10">
        <f t="shared" si="1"/>
        <v>25</v>
      </c>
      <c r="N18" s="50" t="s">
        <v>152</v>
      </c>
      <c r="O18" s="11">
        <v>1.5E-3</v>
      </c>
      <c r="P18" s="11">
        <f t="shared" si="5"/>
        <v>0.15</v>
      </c>
      <c r="Q18" s="11">
        <v>1.5E-3</v>
      </c>
      <c r="R18" s="11">
        <f t="shared" si="4"/>
        <v>0.15</v>
      </c>
      <c r="S18" s="23"/>
    </row>
    <row r="19" spans="1:19" ht="15.75" thickBot="1" x14ac:dyDescent="0.3">
      <c r="A19" s="1">
        <v>17</v>
      </c>
      <c r="B19" s="102"/>
      <c r="C19" s="67" t="s">
        <v>174</v>
      </c>
      <c r="D19" s="41" t="s">
        <v>87</v>
      </c>
      <c r="E19" s="12" t="s">
        <v>68</v>
      </c>
      <c r="F19" s="60" t="s">
        <v>175</v>
      </c>
      <c r="G19" s="12" t="s">
        <v>70</v>
      </c>
      <c r="H19" s="12" t="s">
        <v>196</v>
      </c>
      <c r="I19" s="13" t="s">
        <v>176</v>
      </c>
      <c r="J19" s="12" t="s">
        <v>177</v>
      </c>
      <c r="K19" s="12">
        <v>50</v>
      </c>
      <c r="L19" s="13">
        <v>2</v>
      </c>
      <c r="M19" s="13">
        <f t="shared" si="1"/>
        <v>50</v>
      </c>
      <c r="N19" s="55" t="s">
        <v>152</v>
      </c>
      <c r="O19" s="14">
        <v>4.1000000000000003E-3</v>
      </c>
      <c r="P19" s="14">
        <f t="shared" si="5"/>
        <v>0.20500000000000002</v>
      </c>
      <c r="Q19" s="14">
        <v>4.1000000000000003E-3</v>
      </c>
      <c r="R19" s="14">
        <f t="shared" si="4"/>
        <v>0.20500000000000002</v>
      </c>
      <c r="S19" s="24"/>
    </row>
    <row r="20" spans="1:19" ht="15.75" thickBot="1" x14ac:dyDescent="0.3">
      <c r="A20" s="1">
        <v>18</v>
      </c>
      <c r="B20" s="71" t="s">
        <v>148</v>
      </c>
      <c r="C20" s="68" t="s">
        <v>89</v>
      </c>
      <c r="D20" s="61" t="s">
        <v>90</v>
      </c>
      <c r="E20" s="43" t="s">
        <v>197</v>
      </c>
      <c r="F20" s="43" t="s">
        <v>88</v>
      </c>
      <c r="G20" s="43" t="s">
        <v>91</v>
      </c>
      <c r="H20" s="43" t="s">
        <v>196</v>
      </c>
      <c r="I20" s="43" t="s">
        <v>196</v>
      </c>
      <c r="J20" s="43" t="s">
        <v>188</v>
      </c>
      <c r="K20" s="43">
        <v>25</v>
      </c>
      <c r="L20" s="45">
        <v>1</v>
      </c>
      <c r="M20" s="45">
        <f t="shared" si="1"/>
        <v>25</v>
      </c>
      <c r="N20" s="62" t="s">
        <v>198</v>
      </c>
      <c r="O20" s="46">
        <v>0.55489999999999995</v>
      </c>
      <c r="P20" s="46">
        <f>O20*K20</f>
        <v>13.872499999999999</v>
      </c>
      <c r="Q20" s="46">
        <v>0.55489999999999995</v>
      </c>
      <c r="R20" s="46">
        <f t="shared" si="4"/>
        <v>13.872499999999999</v>
      </c>
      <c r="S20" s="72"/>
    </row>
    <row r="21" spans="1:19" ht="15.75" thickBot="1" x14ac:dyDescent="0.3">
      <c r="A21" s="1">
        <v>19</v>
      </c>
      <c r="B21" s="100" t="s">
        <v>149</v>
      </c>
      <c r="C21" s="65" t="s">
        <v>126</v>
      </c>
      <c r="D21" s="80" t="s">
        <v>127</v>
      </c>
      <c r="E21" s="81" t="s">
        <v>197</v>
      </c>
      <c r="F21" s="80" t="s">
        <v>128</v>
      </c>
      <c r="G21" s="80" t="s">
        <v>129</v>
      </c>
      <c r="H21" s="80" t="s">
        <v>199</v>
      </c>
      <c r="I21" s="80" t="s">
        <v>196</v>
      </c>
      <c r="J21" s="80" t="s">
        <v>125</v>
      </c>
      <c r="K21" s="81">
        <v>25</v>
      </c>
      <c r="L21" s="7">
        <v>1</v>
      </c>
      <c r="M21" s="7">
        <f t="shared" si="1"/>
        <v>25</v>
      </c>
      <c r="N21" s="26" t="s">
        <v>173</v>
      </c>
      <c r="O21" s="8">
        <v>0.32</v>
      </c>
      <c r="P21" s="8">
        <f t="shared" ref="P21:P32" si="6">O21*L21</f>
        <v>0.32</v>
      </c>
      <c r="Q21" s="8">
        <v>0.32</v>
      </c>
      <c r="R21" s="8">
        <f t="shared" si="4"/>
        <v>8</v>
      </c>
      <c r="S21" s="22"/>
    </row>
    <row r="22" spans="1:19" ht="15.75" thickBot="1" x14ac:dyDescent="0.3">
      <c r="A22" s="1">
        <v>20</v>
      </c>
      <c r="B22" s="102"/>
      <c r="C22" s="67" t="s">
        <v>131</v>
      </c>
      <c r="D22" s="41" t="s">
        <v>132</v>
      </c>
      <c r="E22" s="12" t="s">
        <v>197</v>
      </c>
      <c r="F22" s="12" t="s">
        <v>130</v>
      </c>
      <c r="G22" s="12" t="s">
        <v>133</v>
      </c>
      <c r="H22" s="12" t="s">
        <v>199</v>
      </c>
      <c r="I22" s="12" t="s">
        <v>181</v>
      </c>
      <c r="J22" s="12"/>
      <c r="K22" s="12">
        <v>25</v>
      </c>
      <c r="L22" s="13">
        <v>1</v>
      </c>
      <c r="M22" s="13">
        <f t="shared" si="1"/>
        <v>25</v>
      </c>
      <c r="N22" s="55" t="s">
        <v>173</v>
      </c>
      <c r="O22" s="14">
        <v>0.40600000000000003</v>
      </c>
      <c r="P22" s="14">
        <f>O22*K22</f>
        <v>10.15</v>
      </c>
      <c r="Q22" s="14">
        <v>0.40600000000000003</v>
      </c>
      <c r="R22" s="14">
        <f t="shared" si="4"/>
        <v>10.15</v>
      </c>
      <c r="S22" s="24"/>
    </row>
    <row r="23" spans="1:19" ht="15.75" thickBot="1" x14ac:dyDescent="0.3">
      <c r="A23" s="1">
        <v>21</v>
      </c>
      <c r="B23" s="100" t="s">
        <v>150</v>
      </c>
      <c r="C23" s="79" t="s">
        <v>93</v>
      </c>
      <c r="D23" s="80" t="s">
        <v>94</v>
      </c>
      <c r="E23" s="81" t="s">
        <v>95</v>
      </c>
      <c r="F23" s="81" t="s">
        <v>92</v>
      </c>
      <c r="G23" s="81" t="s">
        <v>96</v>
      </c>
      <c r="H23" s="81" t="s">
        <v>188</v>
      </c>
      <c r="I23" s="81" t="s">
        <v>196</v>
      </c>
      <c r="J23" s="81" t="s">
        <v>196</v>
      </c>
      <c r="K23" s="81">
        <v>25</v>
      </c>
      <c r="L23" s="82">
        <v>1</v>
      </c>
      <c r="M23" s="82">
        <f t="shared" si="1"/>
        <v>25</v>
      </c>
      <c r="N23" s="83" t="s">
        <v>189</v>
      </c>
      <c r="O23" s="84">
        <v>10</v>
      </c>
      <c r="P23" s="85">
        <f t="shared" si="6"/>
        <v>10</v>
      </c>
      <c r="Q23" s="84">
        <v>10</v>
      </c>
      <c r="R23" s="85">
        <f t="shared" si="4"/>
        <v>250</v>
      </c>
      <c r="S23" s="86"/>
    </row>
    <row r="24" spans="1:19" ht="15.75" thickBot="1" x14ac:dyDescent="0.3">
      <c r="A24" s="1">
        <v>22</v>
      </c>
      <c r="B24" s="101"/>
      <c r="C24" s="87" t="s">
        <v>98</v>
      </c>
      <c r="D24" s="78" t="s">
        <v>99</v>
      </c>
      <c r="E24" s="88" t="s">
        <v>100</v>
      </c>
      <c r="F24" s="88" t="s">
        <v>97</v>
      </c>
      <c r="G24" s="88" t="s">
        <v>101</v>
      </c>
      <c r="H24" s="89" t="s">
        <v>181</v>
      </c>
      <c r="I24" s="89" t="s">
        <v>181</v>
      </c>
      <c r="J24" s="88" t="s">
        <v>196</v>
      </c>
      <c r="K24" s="89">
        <v>25</v>
      </c>
      <c r="L24" s="89">
        <v>1</v>
      </c>
      <c r="M24" s="89">
        <f t="shared" si="1"/>
        <v>25</v>
      </c>
      <c r="N24" s="90" t="s">
        <v>213</v>
      </c>
      <c r="O24" s="91">
        <v>13.69</v>
      </c>
      <c r="P24" s="91">
        <f t="shared" si="6"/>
        <v>13.69</v>
      </c>
      <c r="Q24" s="91">
        <v>13.69</v>
      </c>
      <c r="R24" s="91">
        <f t="shared" si="4"/>
        <v>342.25</v>
      </c>
      <c r="S24" s="92"/>
    </row>
    <row r="25" spans="1:19" ht="15.75" thickBot="1" x14ac:dyDescent="0.3">
      <c r="A25" s="1">
        <v>23</v>
      </c>
      <c r="B25" s="101"/>
      <c r="C25" s="66" t="s">
        <v>103</v>
      </c>
      <c r="D25" s="39" t="s">
        <v>104</v>
      </c>
      <c r="E25" s="9" t="s">
        <v>105</v>
      </c>
      <c r="F25" s="9" t="s">
        <v>102</v>
      </c>
      <c r="G25" s="9" t="s">
        <v>106</v>
      </c>
      <c r="H25" s="9" t="s">
        <v>199</v>
      </c>
      <c r="I25" s="9" t="s">
        <v>181</v>
      </c>
      <c r="J25" s="9" t="s">
        <v>188</v>
      </c>
      <c r="K25" s="9">
        <v>25</v>
      </c>
      <c r="L25" s="10">
        <v>1</v>
      </c>
      <c r="M25" s="10">
        <f t="shared" si="1"/>
        <v>25</v>
      </c>
      <c r="N25" s="50" t="s">
        <v>173</v>
      </c>
      <c r="O25" s="19">
        <v>8.57</v>
      </c>
      <c r="P25" s="11">
        <f t="shared" si="6"/>
        <v>8.57</v>
      </c>
      <c r="Q25" s="19">
        <v>8.57</v>
      </c>
      <c r="R25" s="11">
        <f t="shared" si="4"/>
        <v>214.25</v>
      </c>
      <c r="S25" s="23"/>
    </row>
    <row r="26" spans="1:19" ht="15.75" thickBot="1" x14ac:dyDescent="0.3">
      <c r="A26" s="1">
        <v>24</v>
      </c>
      <c r="B26" s="101"/>
      <c r="C26" s="66" t="s">
        <v>108</v>
      </c>
      <c r="D26" s="39" t="s">
        <v>109</v>
      </c>
      <c r="E26" s="9" t="s">
        <v>110</v>
      </c>
      <c r="F26" s="9" t="s">
        <v>107</v>
      </c>
      <c r="G26" s="9" t="s">
        <v>111</v>
      </c>
      <c r="H26" s="9" t="s">
        <v>199</v>
      </c>
      <c r="I26" s="9" t="s">
        <v>181</v>
      </c>
      <c r="J26" s="9" t="s">
        <v>188</v>
      </c>
      <c r="K26" s="9">
        <v>25</v>
      </c>
      <c r="L26" s="10">
        <v>1</v>
      </c>
      <c r="M26" s="10">
        <f t="shared" si="1"/>
        <v>25</v>
      </c>
      <c r="N26" s="50" t="s">
        <v>155</v>
      </c>
      <c r="O26" s="20">
        <v>10.043200000000001</v>
      </c>
      <c r="P26" s="11">
        <f>O26*L26</f>
        <v>10.043200000000001</v>
      </c>
      <c r="Q26" s="20">
        <v>10.043200000000001</v>
      </c>
      <c r="R26" s="11">
        <f t="shared" si="4"/>
        <v>251.08</v>
      </c>
      <c r="S26" s="23"/>
    </row>
    <row r="27" spans="1:19" ht="15.75" thickBot="1" x14ac:dyDescent="0.3">
      <c r="A27" s="1">
        <v>25</v>
      </c>
      <c r="B27" s="101"/>
      <c r="C27" s="66" t="s">
        <v>113</v>
      </c>
      <c r="D27" s="39" t="s">
        <v>114</v>
      </c>
      <c r="E27" s="9" t="s">
        <v>115</v>
      </c>
      <c r="F27" s="9" t="s">
        <v>112</v>
      </c>
      <c r="G27" s="9" t="s">
        <v>101</v>
      </c>
      <c r="H27" s="9" t="s">
        <v>199</v>
      </c>
      <c r="I27" s="10" t="s">
        <v>171</v>
      </c>
      <c r="J27" s="9" t="s">
        <v>188</v>
      </c>
      <c r="K27" s="9">
        <v>25</v>
      </c>
      <c r="L27" s="10">
        <v>1</v>
      </c>
      <c r="M27" s="10">
        <f t="shared" si="1"/>
        <v>25</v>
      </c>
      <c r="N27" s="50" t="s">
        <v>152</v>
      </c>
      <c r="O27" s="11">
        <v>0.20369999999999999</v>
      </c>
      <c r="P27" s="11">
        <f t="shared" si="6"/>
        <v>0.20369999999999999</v>
      </c>
      <c r="Q27" s="11">
        <v>0.20369999999999999</v>
      </c>
      <c r="R27" s="11">
        <f t="shared" si="4"/>
        <v>5.0924999999999994</v>
      </c>
      <c r="S27" s="23"/>
    </row>
    <row r="28" spans="1:19" ht="15.75" thickBot="1" x14ac:dyDescent="0.3">
      <c r="A28" s="1">
        <v>26</v>
      </c>
      <c r="B28" s="101"/>
      <c r="C28" s="66" t="s">
        <v>117</v>
      </c>
      <c r="D28" s="39" t="s">
        <v>118</v>
      </c>
      <c r="E28" s="9" t="s">
        <v>119</v>
      </c>
      <c r="F28" s="9" t="s">
        <v>116</v>
      </c>
      <c r="G28" s="9" t="s">
        <v>120</v>
      </c>
      <c r="H28" s="9" t="s">
        <v>199</v>
      </c>
      <c r="I28" s="9" t="s">
        <v>181</v>
      </c>
      <c r="J28" s="9" t="s">
        <v>188</v>
      </c>
      <c r="K28" s="9">
        <v>25</v>
      </c>
      <c r="L28" s="10">
        <v>1</v>
      </c>
      <c r="M28" s="10">
        <f t="shared" si="1"/>
        <v>25</v>
      </c>
      <c r="N28" s="50" t="s">
        <v>173</v>
      </c>
      <c r="O28" s="11">
        <v>0.66949999999999998</v>
      </c>
      <c r="P28" s="11">
        <f t="shared" si="6"/>
        <v>0.66949999999999998</v>
      </c>
      <c r="Q28" s="11">
        <v>0.66949999999999998</v>
      </c>
      <c r="R28" s="11">
        <f t="shared" si="4"/>
        <v>16.737500000000001</v>
      </c>
      <c r="S28" s="23"/>
    </row>
    <row r="29" spans="1:19" ht="15.75" thickBot="1" x14ac:dyDescent="0.3">
      <c r="A29" s="1">
        <v>27</v>
      </c>
      <c r="B29" s="102"/>
      <c r="C29" s="67" t="s">
        <v>122</v>
      </c>
      <c r="D29" s="41" t="s">
        <v>123</v>
      </c>
      <c r="E29" s="12" t="s">
        <v>124</v>
      </c>
      <c r="F29" s="12" t="s">
        <v>121</v>
      </c>
      <c r="G29" s="12" t="s">
        <v>42</v>
      </c>
      <c r="H29" s="12" t="s">
        <v>199</v>
      </c>
      <c r="I29" s="12" t="s">
        <v>181</v>
      </c>
      <c r="J29" s="12" t="s">
        <v>188</v>
      </c>
      <c r="K29" s="12">
        <v>25</v>
      </c>
      <c r="L29" s="13">
        <v>1</v>
      </c>
      <c r="M29" s="13">
        <f t="shared" si="1"/>
        <v>25</v>
      </c>
      <c r="N29" s="55" t="s">
        <v>172</v>
      </c>
      <c r="O29" s="14">
        <v>0.83908000000000005</v>
      </c>
      <c r="P29" s="14">
        <f t="shared" si="6"/>
        <v>0.83908000000000005</v>
      </c>
      <c r="Q29" s="14">
        <v>0.83908000000000005</v>
      </c>
      <c r="R29" s="14">
        <f t="shared" si="4"/>
        <v>20.977</v>
      </c>
      <c r="S29" s="24"/>
    </row>
    <row r="30" spans="1:19" ht="15.75" thickBot="1" x14ac:dyDescent="0.3">
      <c r="A30" s="1">
        <v>28</v>
      </c>
      <c r="B30" s="105" t="s">
        <v>151</v>
      </c>
      <c r="C30" s="70" t="s">
        <v>200</v>
      </c>
      <c r="D30" s="51" t="s">
        <v>201</v>
      </c>
      <c r="E30" s="44" t="s">
        <v>197</v>
      </c>
      <c r="F30" s="44" t="s">
        <v>202</v>
      </c>
      <c r="G30" s="44" t="s">
        <v>203</v>
      </c>
      <c r="H30" s="44" t="s">
        <v>199</v>
      </c>
      <c r="I30" s="44" t="s">
        <v>204</v>
      </c>
      <c r="J30" s="44" t="s">
        <v>188</v>
      </c>
      <c r="K30" s="44">
        <v>30</v>
      </c>
      <c r="L30" s="42">
        <v>1</v>
      </c>
      <c r="M30" s="42">
        <f t="shared" si="1"/>
        <v>25</v>
      </c>
      <c r="N30" s="52" t="s">
        <v>152</v>
      </c>
      <c r="O30" s="53">
        <v>6.4799999999999996E-2</v>
      </c>
      <c r="P30" s="53">
        <f>O30*K30</f>
        <v>1.944</v>
      </c>
      <c r="Q30" s="53">
        <v>6.4799999999999996E-2</v>
      </c>
      <c r="R30" s="53">
        <f t="shared" si="4"/>
        <v>1.944</v>
      </c>
      <c r="S30" s="73"/>
    </row>
    <row r="31" spans="1:19" ht="15.75" thickBot="1" x14ac:dyDescent="0.3">
      <c r="A31" s="1">
        <v>29</v>
      </c>
      <c r="B31" s="105"/>
      <c r="C31" s="87" t="s">
        <v>44</v>
      </c>
      <c r="D31" s="88" t="s">
        <v>45</v>
      </c>
      <c r="E31" s="88" t="s">
        <v>197</v>
      </c>
      <c r="F31" s="88" t="s">
        <v>43</v>
      </c>
      <c r="G31" s="88" t="s">
        <v>46</v>
      </c>
      <c r="H31" s="89" t="s">
        <v>181</v>
      </c>
      <c r="I31" s="89" t="s">
        <v>181</v>
      </c>
      <c r="J31" s="89" t="s">
        <v>181</v>
      </c>
      <c r="K31" s="89">
        <v>30</v>
      </c>
      <c r="L31" s="89">
        <v>1</v>
      </c>
      <c r="M31" s="89">
        <f t="shared" si="1"/>
        <v>25</v>
      </c>
      <c r="N31" s="90" t="s">
        <v>213</v>
      </c>
      <c r="O31" s="93">
        <v>2.56</v>
      </c>
      <c r="P31" s="91">
        <f t="shared" si="6"/>
        <v>2.56</v>
      </c>
      <c r="Q31" s="93">
        <v>2.56</v>
      </c>
      <c r="R31" s="91">
        <f t="shared" si="4"/>
        <v>76.8</v>
      </c>
      <c r="S31" s="92"/>
    </row>
    <row r="32" spans="1:19" ht="15.75" thickBot="1" x14ac:dyDescent="0.3">
      <c r="A32" s="1">
        <v>30</v>
      </c>
      <c r="B32" s="105"/>
      <c r="C32" s="87" t="s">
        <v>57</v>
      </c>
      <c r="D32" s="88" t="s">
        <v>58</v>
      </c>
      <c r="E32" s="88" t="s">
        <v>197</v>
      </c>
      <c r="F32" s="88" t="s">
        <v>56</v>
      </c>
      <c r="G32" s="88" t="s">
        <v>59</v>
      </c>
      <c r="H32" s="89" t="s">
        <v>181</v>
      </c>
      <c r="I32" s="89" t="s">
        <v>181</v>
      </c>
      <c r="J32" s="89" t="s">
        <v>181</v>
      </c>
      <c r="K32" s="89">
        <v>30</v>
      </c>
      <c r="L32" s="89">
        <v>1</v>
      </c>
      <c r="M32" s="89">
        <f t="shared" si="1"/>
        <v>25</v>
      </c>
      <c r="N32" s="90" t="s">
        <v>213</v>
      </c>
      <c r="O32" s="99">
        <v>0.5</v>
      </c>
      <c r="P32" s="91">
        <f t="shared" si="6"/>
        <v>0.5</v>
      </c>
      <c r="Q32" s="99">
        <v>0.5</v>
      </c>
      <c r="R32" s="91">
        <f t="shared" si="4"/>
        <v>15</v>
      </c>
      <c r="S32" s="92"/>
    </row>
    <row r="33" spans="1:19" ht="15.75" thickBot="1" x14ac:dyDescent="0.3">
      <c r="A33" s="74">
        <v>31</v>
      </c>
      <c r="B33" s="106"/>
      <c r="C33" s="75" t="s">
        <v>205</v>
      </c>
      <c r="D33" s="48" t="s">
        <v>206</v>
      </c>
      <c r="E33" s="48" t="s">
        <v>197</v>
      </c>
      <c r="F33" s="48" t="s">
        <v>207</v>
      </c>
      <c r="G33" s="48" t="s">
        <v>196</v>
      </c>
      <c r="H33" s="48" t="s">
        <v>178</v>
      </c>
      <c r="I33" s="49"/>
      <c r="J33" s="48"/>
      <c r="K33" s="48"/>
      <c r="L33" s="76">
        <v>1</v>
      </c>
      <c r="M33" s="76">
        <f t="shared" si="1"/>
        <v>25</v>
      </c>
      <c r="N33" s="96" t="s">
        <v>196</v>
      </c>
      <c r="O33" s="96" t="s">
        <v>196</v>
      </c>
      <c r="P33" s="97" t="s">
        <v>181</v>
      </c>
      <c r="Q33" s="96" t="s">
        <v>196</v>
      </c>
      <c r="R33" s="96" t="s">
        <v>196</v>
      </c>
      <c r="S33" s="98" t="s">
        <v>211</v>
      </c>
    </row>
    <row r="34" spans="1:19" ht="19.5" thickBot="1" x14ac:dyDescent="0.35">
      <c r="L34" s="103" t="s">
        <v>153</v>
      </c>
      <c r="M34" s="103"/>
      <c r="N34" s="103"/>
      <c r="O34" s="103"/>
      <c r="R34" s="3">
        <f>SUM(R3:R33)</f>
        <v>1256.4069999999999</v>
      </c>
    </row>
    <row r="35" spans="1:19" ht="18.75" x14ac:dyDescent="0.3">
      <c r="L35" s="104" t="s">
        <v>154</v>
      </c>
      <c r="M35" s="104"/>
      <c r="N35" s="104"/>
      <c r="O35" s="104"/>
      <c r="P35" s="2">
        <f>SUM(P3:P34)</f>
        <v>103.61547999999999</v>
      </c>
      <c r="R35" s="4">
        <f>R34/25</f>
        <v>50.256279999999997</v>
      </c>
    </row>
    <row r="44" spans="1:19" x14ac:dyDescent="0.25">
      <c r="R44" s="3"/>
    </row>
    <row r="45" spans="1:19" x14ac:dyDescent="0.25">
      <c r="P45" s="2"/>
      <c r="R45" s="4"/>
    </row>
  </sheetData>
  <mergeCells count="9">
    <mergeCell ref="B23:B29"/>
    <mergeCell ref="L34:O34"/>
    <mergeCell ref="L35:O35"/>
    <mergeCell ref="B30:B33"/>
    <mergeCell ref="A1:S1"/>
    <mergeCell ref="B3:B8"/>
    <mergeCell ref="B9:B11"/>
    <mergeCell ref="B14:B19"/>
    <mergeCell ref="B21:B22"/>
  </mergeCells>
  <conditionalFormatting sqref="P45:R45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{70EE1023-228D-423C-ADF5-29102BB53C0F}</x14:id>
        </ext>
      </extLst>
    </cfRule>
  </conditionalFormatting>
  <conditionalFormatting sqref="L3:M33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:P33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{31993F18-4C5F-4176-9D23-BFACE9C28768}</x14:id>
        </ext>
      </extLst>
    </cfRule>
  </conditionalFormatting>
  <conditionalFormatting sqref="R3:R32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{BC439CAB-0450-4930-B07F-0CD52FB2A12C}</x14:id>
        </ext>
      </extLst>
    </cfRule>
  </conditionalFormatting>
  <conditionalFormatting sqref="P35:R3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{A1695ED9-B990-46F6-802E-30B15520C0CF}</x14:id>
        </ext>
      </extLst>
    </cfRule>
  </conditionalFormatting>
  <conditionalFormatting sqref="S3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{F082B402-714C-402E-BD8A-E0580F0E0C09}</x14:id>
        </ext>
      </extLst>
    </cfRule>
  </conditionalFormatting>
  <hyperlinks>
    <hyperlink ref="N3" r:id="rId1" xr:uid="{00000000-0004-0000-0000-000000000000}"/>
    <hyperlink ref="N4" r:id="rId2" xr:uid="{00000000-0004-0000-0000-000001000000}"/>
    <hyperlink ref="N7" r:id="rId3" xr:uid="{00000000-0004-0000-0000-000002000000}"/>
    <hyperlink ref="N8" r:id="rId4" xr:uid="{00000000-0004-0000-0000-000003000000}"/>
    <hyperlink ref="N11" r:id="rId5" xr:uid="{00000000-0004-0000-0000-000004000000}"/>
    <hyperlink ref="N14" r:id="rId6" xr:uid="{00000000-0004-0000-0000-000005000000}"/>
    <hyperlink ref="N15" r:id="rId7" xr:uid="{00000000-0004-0000-0000-000006000000}"/>
    <hyperlink ref="N16" r:id="rId8" xr:uid="{00000000-0004-0000-0000-000007000000}"/>
    <hyperlink ref="N17" r:id="rId9" xr:uid="{00000000-0004-0000-0000-000008000000}"/>
    <hyperlink ref="N18" r:id="rId10" xr:uid="{00000000-0004-0000-0000-000009000000}"/>
    <hyperlink ref="N19" r:id="rId11" xr:uid="{00000000-0004-0000-0000-00000A000000}"/>
    <hyperlink ref="N27" r:id="rId12" xr:uid="{00000000-0004-0000-0000-00000B000000}"/>
    <hyperlink ref="N29" r:id="rId13" xr:uid="{00000000-0004-0000-0000-00000C000000}"/>
    <hyperlink ref="N28" r:id="rId14" xr:uid="{00000000-0004-0000-0000-00000D000000}"/>
    <hyperlink ref="N26" r:id="rId15" xr:uid="{00000000-0004-0000-0000-00000E000000}"/>
    <hyperlink ref="N25" r:id="rId16" xr:uid="{00000000-0004-0000-0000-00000F000000}"/>
    <hyperlink ref="N6" r:id="rId17" xr:uid="{00000000-0004-0000-0000-000010000000}"/>
    <hyperlink ref="N9" r:id="rId18" xr:uid="{00000000-0004-0000-0000-000011000000}"/>
    <hyperlink ref="N10" r:id="rId19" xr:uid="{00000000-0004-0000-0000-000012000000}"/>
    <hyperlink ref="N12" r:id="rId20" xr:uid="{00000000-0004-0000-0000-000013000000}"/>
    <hyperlink ref="N13" r:id="rId21" xr:uid="{00000000-0004-0000-0000-000014000000}"/>
    <hyperlink ref="N20" r:id="rId22" xr:uid="{00000000-0004-0000-0000-000015000000}"/>
    <hyperlink ref="N22" r:id="rId23" xr:uid="{00000000-0004-0000-0000-000016000000}"/>
    <hyperlink ref="N23" r:id="rId24" xr:uid="{00000000-0004-0000-0000-000017000000}"/>
    <hyperlink ref="N30" r:id="rId25" xr:uid="{00000000-0004-0000-0000-000018000000}"/>
    <hyperlink ref="N5" r:id="rId26" xr:uid="{00000000-0004-0000-0000-000019000000}"/>
    <hyperlink ref="N21" r:id="rId27" xr:uid="{00000000-0004-0000-0000-00001A000000}"/>
  </hyperlinks>
  <printOptions horizontalCentered="1" verticalCentered="1"/>
  <pageMargins left="0.30555555555555558" right="0.30555555555555558" top="0.30555555555555558" bottom="0.30555555555555558" header="0" footer="0"/>
  <pageSetup scale="39" orientation="landscape" blackAndWhite="1" r:id="rId28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0EE1023-228D-423C-ADF5-29102BB53C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P45:R45</xm:sqref>
        </x14:conditionalFormatting>
        <x14:conditionalFormatting xmlns:xm="http://schemas.microsoft.com/office/excel/2006/main">
          <x14:cfRule type="dataBar" id="{31993F18-4C5F-4176-9D23-BFACE9C287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P3:P33</xm:sqref>
        </x14:conditionalFormatting>
        <x14:conditionalFormatting xmlns:xm="http://schemas.microsoft.com/office/excel/2006/main">
          <x14:cfRule type="dataBar" id="{BC439CAB-0450-4930-B07F-0CD52FB2A1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R3:R32</xm:sqref>
        </x14:conditionalFormatting>
        <x14:conditionalFormatting xmlns:xm="http://schemas.microsoft.com/office/excel/2006/main">
          <x14:cfRule type="dataBar" id="{A1695ED9-B990-46F6-802E-30B15520C0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P35:R35</xm:sqref>
        </x14:conditionalFormatting>
        <x14:conditionalFormatting xmlns:xm="http://schemas.microsoft.com/office/excel/2006/main">
          <x14:cfRule type="dataBar" id="{F082B402-714C-402E-BD8A-E0580F0E0C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S33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SM_Bottom_Board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</cp:lastModifiedBy>
  <dcterms:created xsi:type="dcterms:W3CDTF">2021-07-08T08:22:22Z</dcterms:created>
  <dcterms:modified xsi:type="dcterms:W3CDTF">2021-12-14T11:46:45Z</dcterms:modified>
</cp:coreProperties>
</file>